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Álix Berté\Desktop\"/>
    </mc:Choice>
  </mc:AlternateContent>
  <xr:revisionPtr revIDLastSave="0" documentId="13_ncr:1_{4E9D22AB-3E78-420A-913A-D432CD67529D}" xr6:coauthVersionLast="47" xr6:coauthVersionMax="47" xr10:uidLastSave="{00000000-0000-0000-0000-000000000000}"/>
  <bookViews>
    <workbookView xWindow="-120" yWindow="-120" windowWidth="20730" windowHeight="11760" activeTab="4" xr2:uid="{00000000-000D-0000-FFFF-FFFF00000000}"/>
  </bookViews>
  <sheets>
    <sheet name="CLM" sheetId="1" r:id="rId1"/>
    <sheet name="CLC" sheetId="2" r:id="rId2"/>
    <sheet name="GO" sheetId="3" r:id="rId3"/>
    <sheet name="PED" sheetId="4" r:id="rId4"/>
    <sheet name="PREVENTIVA" sheetId="5" r:id="rId5"/>
    <sheet name="SIMUL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nNjCJbNlJu9CumCgdxF+I+1z1GFvg2BdeNNfV7KxTz0="/>
    </ext>
  </extLst>
</workbook>
</file>

<file path=xl/calcChain.xml><?xml version="1.0" encoding="utf-8"?>
<calcChain xmlns="http://schemas.openxmlformats.org/spreadsheetml/2006/main">
  <c r="J161" i="1" l="1"/>
  <c r="O161" i="1"/>
  <c r="P161" i="1"/>
  <c r="J65" i="1"/>
  <c r="O65" i="1"/>
  <c r="P65" i="1"/>
  <c r="J19" i="1"/>
  <c r="P19" i="1" s="1"/>
  <c r="O19" i="1"/>
  <c r="J90" i="2"/>
  <c r="O90" i="2"/>
  <c r="P90" i="2"/>
  <c r="P55" i="2"/>
  <c r="O55" i="2"/>
  <c r="I108" i="1"/>
  <c r="H108" i="1"/>
  <c r="I27" i="3"/>
  <c r="H27" i="3"/>
  <c r="I8" i="1"/>
  <c r="H8" i="1"/>
  <c r="I8" i="3"/>
  <c r="H8" i="3"/>
  <c r="I142" i="1"/>
  <c r="H142" i="1"/>
  <c r="I17" i="2"/>
  <c r="H17" i="2"/>
  <c r="J17" i="2" s="1"/>
  <c r="P17" i="2" s="1"/>
  <c r="I12" i="2"/>
  <c r="J12" i="2" s="1"/>
  <c r="P12" i="2" s="1"/>
  <c r="H12" i="2"/>
  <c r="J7" i="4"/>
  <c r="P7" i="4" s="1"/>
  <c r="I19" i="5"/>
  <c r="H19" i="5"/>
  <c r="I7" i="5"/>
  <c r="H7" i="5"/>
  <c r="I8" i="5"/>
  <c r="J8" i="5" s="1"/>
  <c r="P8" i="5" s="1"/>
  <c r="H8" i="5"/>
  <c r="I18" i="5"/>
  <c r="I58" i="1"/>
  <c r="I62" i="1"/>
  <c r="I28" i="3"/>
  <c r="H28" i="3"/>
  <c r="I11" i="1"/>
  <c r="H11" i="1"/>
  <c r="I13" i="3"/>
  <c r="H13" i="3"/>
  <c r="I22" i="4"/>
  <c r="H22" i="4"/>
  <c r="J22" i="4" s="1"/>
  <c r="I23" i="3"/>
  <c r="H23" i="3"/>
  <c r="I19" i="2"/>
  <c r="H19" i="2"/>
  <c r="J19" i="2" s="1"/>
  <c r="P19" i="2" s="1"/>
  <c r="I21" i="3"/>
  <c r="H21" i="3"/>
  <c r="I13" i="4"/>
  <c r="H13" i="4"/>
  <c r="J13" i="4" s="1"/>
  <c r="I28" i="2"/>
  <c r="J28" i="2" s="1"/>
  <c r="H28" i="2"/>
  <c r="I10" i="5"/>
  <c r="H10" i="5"/>
  <c r="I9" i="1"/>
  <c r="H9" i="1"/>
  <c r="I23" i="4"/>
  <c r="H23" i="4"/>
  <c r="I18" i="2"/>
  <c r="H18" i="2"/>
  <c r="I38" i="4"/>
  <c r="H38" i="4"/>
  <c r="J38" i="4" s="1"/>
  <c r="I24" i="3"/>
  <c r="H24" i="3"/>
  <c r="I24" i="4"/>
  <c r="H24" i="4"/>
  <c r="J24" i="4" s="1"/>
  <c r="I93" i="1"/>
  <c r="J93" i="1" s="1"/>
  <c r="P93" i="1" s="1"/>
  <c r="I25" i="3"/>
  <c r="I11" i="2"/>
  <c r="J11" i="2" s="1"/>
  <c r="P11" i="2" s="1"/>
  <c r="I9" i="3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F6" i="6"/>
  <c r="G6" i="6" s="1"/>
  <c r="G26" i="5"/>
  <c r="O25" i="5"/>
  <c r="J25" i="5"/>
  <c r="P25" i="5" s="1"/>
  <c r="O24" i="5"/>
  <c r="J24" i="5"/>
  <c r="P24" i="5" s="1"/>
  <c r="J23" i="5"/>
  <c r="O22" i="5"/>
  <c r="J22" i="5"/>
  <c r="P22" i="5" s="1"/>
  <c r="O21" i="5"/>
  <c r="J21" i="5"/>
  <c r="P21" i="5" s="1"/>
  <c r="O20" i="5"/>
  <c r="J20" i="5"/>
  <c r="P20" i="5" s="1"/>
  <c r="O19" i="5"/>
  <c r="P19" i="5"/>
  <c r="O18" i="5"/>
  <c r="J18" i="5"/>
  <c r="P18" i="5" s="1"/>
  <c r="O17" i="5"/>
  <c r="J17" i="5"/>
  <c r="P17" i="5" s="1"/>
  <c r="O16" i="5"/>
  <c r="J16" i="5"/>
  <c r="P16" i="5" s="1"/>
  <c r="O14" i="5"/>
  <c r="J14" i="5"/>
  <c r="P14" i="5" s="1"/>
  <c r="O13" i="5"/>
  <c r="J13" i="5"/>
  <c r="P13" i="5" s="1"/>
  <c r="O12" i="5"/>
  <c r="J12" i="5"/>
  <c r="P12" i="5" s="1"/>
  <c r="J11" i="5"/>
  <c r="J10" i="5"/>
  <c r="O9" i="5"/>
  <c r="J9" i="5"/>
  <c r="P9" i="5" s="1"/>
  <c r="O55" i="4"/>
  <c r="J55" i="4"/>
  <c r="P55" i="4" s="1"/>
  <c r="O54" i="4"/>
  <c r="J54" i="4"/>
  <c r="P54" i="4" s="1"/>
  <c r="O53" i="4"/>
  <c r="J53" i="4"/>
  <c r="P53" i="4" s="1"/>
  <c r="O52" i="4"/>
  <c r="J52" i="4"/>
  <c r="P52" i="4" s="1"/>
  <c r="O51" i="4"/>
  <c r="J51" i="4"/>
  <c r="P51" i="4" s="1"/>
  <c r="O50" i="4"/>
  <c r="J50" i="4"/>
  <c r="P50" i="4" s="1"/>
  <c r="O49" i="4"/>
  <c r="J49" i="4"/>
  <c r="P49" i="4" s="1"/>
  <c r="O48" i="4"/>
  <c r="J48" i="4"/>
  <c r="P48" i="4" s="1"/>
  <c r="O47" i="4"/>
  <c r="J47" i="4"/>
  <c r="P47" i="4" s="1"/>
  <c r="O46" i="4"/>
  <c r="J46" i="4"/>
  <c r="P46" i="4" s="1"/>
  <c r="O45" i="4"/>
  <c r="J45" i="4"/>
  <c r="P45" i="4" s="1"/>
  <c r="O44" i="4"/>
  <c r="J44" i="4"/>
  <c r="P44" i="4" s="1"/>
  <c r="O43" i="4"/>
  <c r="J43" i="4"/>
  <c r="P43" i="4" s="1"/>
  <c r="O42" i="4"/>
  <c r="J42" i="4"/>
  <c r="P42" i="4" s="1"/>
  <c r="O41" i="4"/>
  <c r="J41" i="4"/>
  <c r="P41" i="4" s="1"/>
  <c r="O40" i="4"/>
  <c r="J40" i="4"/>
  <c r="P40" i="4" s="1"/>
  <c r="O39" i="4"/>
  <c r="J39" i="4"/>
  <c r="P39" i="4" s="1"/>
  <c r="O37" i="4"/>
  <c r="J37" i="4"/>
  <c r="P37" i="4" s="1"/>
  <c r="O36" i="4"/>
  <c r="J36" i="4"/>
  <c r="P36" i="4" s="1"/>
  <c r="O35" i="4"/>
  <c r="J35" i="4"/>
  <c r="P35" i="4" s="1"/>
  <c r="O34" i="4"/>
  <c r="J34" i="4"/>
  <c r="P34" i="4" s="1"/>
  <c r="O33" i="4"/>
  <c r="J33" i="4"/>
  <c r="P33" i="4" s="1"/>
  <c r="O32" i="4"/>
  <c r="J32" i="4"/>
  <c r="P32" i="4" s="1"/>
  <c r="O31" i="4"/>
  <c r="J31" i="4"/>
  <c r="P31" i="4" s="1"/>
  <c r="O30" i="4"/>
  <c r="J30" i="4"/>
  <c r="P30" i="4" s="1"/>
  <c r="O29" i="4"/>
  <c r="J29" i="4"/>
  <c r="P29" i="4" s="1"/>
  <c r="O28" i="4"/>
  <c r="J28" i="4"/>
  <c r="P28" i="4" s="1"/>
  <c r="O27" i="4"/>
  <c r="P27" i="4"/>
  <c r="O26" i="4"/>
  <c r="J26" i="4"/>
  <c r="P26" i="4" s="1"/>
  <c r="J25" i="4"/>
  <c r="J23" i="4"/>
  <c r="O21" i="4"/>
  <c r="J21" i="4"/>
  <c r="P21" i="4" s="1"/>
  <c r="O20" i="4"/>
  <c r="J20" i="4"/>
  <c r="P20" i="4" s="1"/>
  <c r="O19" i="4"/>
  <c r="J19" i="4"/>
  <c r="P19" i="4" s="1"/>
  <c r="O18" i="4"/>
  <c r="J18" i="4"/>
  <c r="P18" i="4" s="1"/>
  <c r="O17" i="4"/>
  <c r="J17" i="4"/>
  <c r="P17" i="4" s="1"/>
  <c r="O16" i="4"/>
  <c r="J16" i="4"/>
  <c r="P16" i="4" s="1"/>
  <c r="O15" i="4"/>
  <c r="J15" i="4"/>
  <c r="P15" i="4" s="1"/>
  <c r="O14" i="4"/>
  <c r="J14" i="4"/>
  <c r="P14" i="4" s="1"/>
  <c r="O12" i="4"/>
  <c r="J12" i="4"/>
  <c r="P12" i="4" s="1"/>
  <c r="O11" i="4"/>
  <c r="J11" i="4"/>
  <c r="P11" i="4" s="1"/>
  <c r="J10" i="4"/>
  <c r="O9" i="4"/>
  <c r="J9" i="4"/>
  <c r="P9" i="4" s="1"/>
  <c r="O8" i="4"/>
  <c r="J8" i="4"/>
  <c r="P8" i="4" s="1"/>
  <c r="O7" i="4"/>
  <c r="O42" i="3"/>
  <c r="J42" i="3"/>
  <c r="P42" i="3" s="1"/>
  <c r="O41" i="3"/>
  <c r="J41" i="3"/>
  <c r="P41" i="3" s="1"/>
  <c r="O40" i="3"/>
  <c r="J40" i="3"/>
  <c r="P40" i="3" s="1"/>
  <c r="O39" i="3"/>
  <c r="J39" i="3"/>
  <c r="P39" i="3" s="1"/>
  <c r="O38" i="3"/>
  <c r="J38" i="3"/>
  <c r="P38" i="3" s="1"/>
  <c r="O37" i="3"/>
  <c r="J37" i="3"/>
  <c r="P37" i="3" s="1"/>
  <c r="O36" i="3"/>
  <c r="J36" i="3"/>
  <c r="P36" i="3" s="1"/>
  <c r="O35" i="3"/>
  <c r="J35" i="3"/>
  <c r="P35" i="3" s="1"/>
  <c r="O34" i="3"/>
  <c r="J34" i="3"/>
  <c r="P34" i="3" s="1"/>
  <c r="O33" i="3"/>
  <c r="J33" i="3"/>
  <c r="P33" i="3" s="1"/>
  <c r="O32" i="3"/>
  <c r="J32" i="3"/>
  <c r="P32" i="3" s="1"/>
  <c r="O31" i="3"/>
  <c r="J31" i="3"/>
  <c r="P31" i="3" s="1"/>
  <c r="O30" i="3"/>
  <c r="J30" i="3"/>
  <c r="P30" i="3" s="1"/>
  <c r="O29" i="3"/>
  <c r="J29" i="3"/>
  <c r="P29" i="3" s="1"/>
  <c r="J28" i="3"/>
  <c r="J27" i="3"/>
  <c r="O26" i="3"/>
  <c r="J26" i="3"/>
  <c r="P26" i="3" s="1"/>
  <c r="O25" i="3"/>
  <c r="J25" i="3"/>
  <c r="P25" i="3" s="1"/>
  <c r="J24" i="3"/>
  <c r="J23" i="3"/>
  <c r="O22" i="3"/>
  <c r="J22" i="3"/>
  <c r="P22" i="3" s="1"/>
  <c r="J21" i="3"/>
  <c r="O20" i="3"/>
  <c r="J20" i="3"/>
  <c r="P20" i="3" s="1"/>
  <c r="O19" i="3"/>
  <c r="J19" i="3"/>
  <c r="P19" i="3" s="1"/>
  <c r="O18" i="3"/>
  <c r="J18" i="3"/>
  <c r="P18" i="3" s="1"/>
  <c r="O17" i="3"/>
  <c r="J17" i="3"/>
  <c r="P17" i="3" s="1"/>
  <c r="O16" i="3"/>
  <c r="J16" i="3"/>
  <c r="P16" i="3" s="1"/>
  <c r="O15" i="3"/>
  <c r="J15" i="3"/>
  <c r="P15" i="3" s="1"/>
  <c r="J14" i="3"/>
  <c r="J13" i="3"/>
  <c r="O12" i="3"/>
  <c r="J12" i="3"/>
  <c r="P12" i="3" s="1"/>
  <c r="O11" i="3"/>
  <c r="J11" i="3"/>
  <c r="P11" i="3" s="1"/>
  <c r="O10" i="3"/>
  <c r="J10" i="3"/>
  <c r="P10" i="3" s="1"/>
  <c r="O9" i="3"/>
  <c r="J9" i="3"/>
  <c r="P9" i="3" s="1"/>
  <c r="J8" i="3"/>
  <c r="J7" i="3"/>
  <c r="O89" i="2"/>
  <c r="J89" i="2"/>
  <c r="P89" i="2" s="1"/>
  <c r="O88" i="2"/>
  <c r="J88" i="2"/>
  <c r="P88" i="2" s="1"/>
  <c r="O87" i="2"/>
  <c r="J87" i="2"/>
  <c r="P87" i="2" s="1"/>
  <c r="O86" i="2"/>
  <c r="J86" i="2"/>
  <c r="P86" i="2" s="1"/>
  <c r="O85" i="2"/>
  <c r="J85" i="2"/>
  <c r="P85" i="2" s="1"/>
  <c r="O84" i="2"/>
  <c r="J84" i="2"/>
  <c r="P84" i="2" s="1"/>
  <c r="O83" i="2"/>
  <c r="J83" i="2"/>
  <c r="P83" i="2" s="1"/>
  <c r="O82" i="2"/>
  <c r="J82" i="2"/>
  <c r="P82" i="2" s="1"/>
  <c r="O81" i="2"/>
  <c r="J81" i="2"/>
  <c r="P81" i="2" s="1"/>
  <c r="O80" i="2"/>
  <c r="J80" i="2"/>
  <c r="P80" i="2" s="1"/>
  <c r="O79" i="2"/>
  <c r="J79" i="2"/>
  <c r="P79" i="2" s="1"/>
  <c r="O78" i="2"/>
  <c r="J78" i="2"/>
  <c r="P78" i="2" s="1"/>
  <c r="O77" i="2"/>
  <c r="J77" i="2"/>
  <c r="P77" i="2" s="1"/>
  <c r="O76" i="2"/>
  <c r="J76" i="2"/>
  <c r="P76" i="2" s="1"/>
  <c r="O75" i="2"/>
  <c r="J75" i="2"/>
  <c r="P75" i="2" s="1"/>
  <c r="O74" i="2"/>
  <c r="J74" i="2"/>
  <c r="P74" i="2" s="1"/>
  <c r="O73" i="2"/>
  <c r="J73" i="2"/>
  <c r="P73" i="2" s="1"/>
  <c r="O72" i="2"/>
  <c r="J72" i="2"/>
  <c r="P72" i="2" s="1"/>
  <c r="O71" i="2"/>
  <c r="J71" i="2"/>
  <c r="P71" i="2" s="1"/>
  <c r="O70" i="2"/>
  <c r="J70" i="2"/>
  <c r="P70" i="2" s="1"/>
  <c r="O69" i="2"/>
  <c r="J69" i="2"/>
  <c r="P69" i="2" s="1"/>
  <c r="O68" i="2"/>
  <c r="J68" i="2"/>
  <c r="P68" i="2" s="1"/>
  <c r="O67" i="2"/>
  <c r="J67" i="2"/>
  <c r="P67" i="2" s="1"/>
  <c r="O66" i="2"/>
  <c r="J66" i="2"/>
  <c r="P66" i="2" s="1"/>
  <c r="O65" i="2"/>
  <c r="J65" i="2"/>
  <c r="P65" i="2" s="1"/>
  <c r="O64" i="2"/>
  <c r="J64" i="2"/>
  <c r="P64" i="2" s="1"/>
  <c r="O63" i="2"/>
  <c r="J63" i="2"/>
  <c r="P63" i="2" s="1"/>
  <c r="O62" i="2"/>
  <c r="J62" i="2"/>
  <c r="P62" i="2" s="1"/>
  <c r="O61" i="2"/>
  <c r="J61" i="2"/>
  <c r="P61" i="2" s="1"/>
  <c r="O60" i="2"/>
  <c r="J60" i="2"/>
  <c r="P60" i="2" s="1"/>
  <c r="O59" i="2"/>
  <c r="J59" i="2"/>
  <c r="P59" i="2" s="1"/>
  <c r="O58" i="2"/>
  <c r="J58" i="2"/>
  <c r="P58" i="2" s="1"/>
  <c r="O57" i="2"/>
  <c r="J57" i="2"/>
  <c r="P57" i="2" s="1"/>
  <c r="O56" i="2"/>
  <c r="J56" i="2"/>
  <c r="P56" i="2" s="1"/>
  <c r="O54" i="2"/>
  <c r="J54" i="2"/>
  <c r="P54" i="2" s="1"/>
  <c r="O53" i="2"/>
  <c r="J53" i="2"/>
  <c r="P53" i="2" s="1"/>
  <c r="O52" i="2"/>
  <c r="J52" i="2"/>
  <c r="P52" i="2" s="1"/>
  <c r="O51" i="2"/>
  <c r="J51" i="2"/>
  <c r="P51" i="2" s="1"/>
  <c r="O50" i="2"/>
  <c r="J50" i="2"/>
  <c r="P50" i="2" s="1"/>
  <c r="O49" i="2"/>
  <c r="J49" i="2"/>
  <c r="P49" i="2" s="1"/>
  <c r="O48" i="2"/>
  <c r="J48" i="2"/>
  <c r="P48" i="2" s="1"/>
  <c r="O47" i="2"/>
  <c r="J47" i="2"/>
  <c r="P47" i="2" s="1"/>
  <c r="O46" i="2"/>
  <c r="J46" i="2"/>
  <c r="P46" i="2" s="1"/>
  <c r="O45" i="2"/>
  <c r="J45" i="2"/>
  <c r="P45" i="2" s="1"/>
  <c r="O44" i="2"/>
  <c r="J44" i="2"/>
  <c r="P44" i="2" s="1"/>
  <c r="O43" i="2"/>
  <c r="J43" i="2"/>
  <c r="P43" i="2" s="1"/>
  <c r="O42" i="2"/>
  <c r="J42" i="2"/>
  <c r="P42" i="2" s="1"/>
  <c r="O41" i="2"/>
  <c r="J41" i="2"/>
  <c r="P41" i="2" s="1"/>
  <c r="O40" i="2"/>
  <c r="J40" i="2"/>
  <c r="P40" i="2" s="1"/>
  <c r="O39" i="2"/>
  <c r="J39" i="2"/>
  <c r="P39" i="2" s="1"/>
  <c r="O38" i="2"/>
  <c r="J38" i="2"/>
  <c r="P38" i="2" s="1"/>
  <c r="O37" i="2"/>
  <c r="J37" i="2"/>
  <c r="P37" i="2" s="1"/>
  <c r="J36" i="2"/>
  <c r="O35" i="2"/>
  <c r="J35" i="2"/>
  <c r="P35" i="2" s="1"/>
  <c r="O32" i="2"/>
  <c r="J32" i="2"/>
  <c r="P32" i="2" s="1"/>
  <c r="O31" i="2"/>
  <c r="J31" i="2"/>
  <c r="P31" i="2" s="1"/>
  <c r="O30" i="2"/>
  <c r="J30" i="2"/>
  <c r="P30" i="2" s="1"/>
  <c r="O29" i="2"/>
  <c r="J29" i="2"/>
  <c r="P29" i="2" s="1"/>
  <c r="O27" i="2"/>
  <c r="J27" i="2"/>
  <c r="P27" i="2" s="1"/>
  <c r="O26" i="2"/>
  <c r="J26" i="2"/>
  <c r="P26" i="2" s="1"/>
  <c r="O25" i="2"/>
  <c r="J25" i="2"/>
  <c r="P25" i="2" s="1"/>
  <c r="O24" i="2"/>
  <c r="J24" i="2"/>
  <c r="P24" i="2" s="1"/>
  <c r="O23" i="2"/>
  <c r="J23" i="2"/>
  <c r="P23" i="2" s="1"/>
  <c r="O22" i="2"/>
  <c r="J22" i="2"/>
  <c r="P22" i="2" s="1"/>
  <c r="O21" i="2"/>
  <c r="J21" i="2"/>
  <c r="P21" i="2" s="1"/>
  <c r="O20" i="2"/>
  <c r="J20" i="2"/>
  <c r="P20" i="2" s="1"/>
  <c r="J18" i="2"/>
  <c r="P18" i="2" s="1"/>
  <c r="O16" i="2"/>
  <c r="J16" i="2"/>
  <c r="P16" i="2" s="1"/>
  <c r="O15" i="2"/>
  <c r="J15" i="2"/>
  <c r="P15" i="2" s="1"/>
  <c r="O14" i="2"/>
  <c r="J14" i="2"/>
  <c r="P14" i="2" s="1"/>
  <c r="O13" i="2"/>
  <c r="J13" i="2"/>
  <c r="P13" i="2" s="1"/>
  <c r="O11" i="2"/>
  <c r="O10" i="2"/>
  <c r="J10" i="2"/>
  <c r="P10" i="2" s="1"/>
  <c r="O9" i="2"/>
  <c r="J9" i="2"/>
  <c r="P9" i="2" s="1"/>
  <c r="O8" i="2"/>
  <c r="J8" i="2"/>
  <c r="P8" i="2" s="1"/>
  <c r="J7" i="2"/>
  <c r="O175" i="1"/>
  <c r="J175" i="1"/>
  <c r="P175" i="1" s="1"/>
  <c r="O174" i="1"/>
  <c r="J174" i="1"/>
  <c r="P174" i="1" s="1"/>
  <c r="O173" i="1"/>
  <c r="J173" i="1"/>
  <c r="P173" i="1" s="1"/>
  <c r="O172" i="1"/>
  <c r="J172" i="1"/>
  <c r="P172" i="1" s="1"/>
  <c r="O171" i="1"/>
  <c r="J171" i="1"/>
  <c r="P171" i="1" s="1"/>
  <c r="J170" i="1"/>
  <c r="O169" i="1"/>
  <c r="J169" i="1"/>
  <c r="P169" i="1" s="1"/>
  <c r="O168" i="1"/>
  <c r="J168" i="1"/>
  <c r="P168" i="1" s="1"/>
  <c r="O167" i="1"/>
  <c r="J167" i="1"/>
  <c r="P167" i="1" s="1"/>
  <c r="O166" i="1"/>
  <c r="J166" i="1"/>
  <c r="P166" i="1" s="1"/>
  <c r="O165" i="1"/>
  <c r="J165" i="1"/>
  <c r="P165" i="1" s="1"/>
  <c r="O164" i="1"/>
  <c r="J164" i="1"/>
  <c r="P164" i="1" s="1"/>
  <c r="O163" i="1"/>
  <c r="J163" i="1"/>
  <c r="P163" i="1" s="1"/>
  <c r="O162" i="1"/>
  <c r="J162" i="1"/>
  <c r="P162" i="1" s="1"/>
  <c r="O160" i="1"/>
  <c r="J160" i="1"/>
  <c r="P160" i="1" s="1"/>
  <c r="O159" i="1"/>
  <c r="J159" i="1"/>
  <c r="P159" i="1" s="1"/>
  <c r="O158" i="1"/>
  <c r="J158" i="1"/>
  <c r="P158" i="1" s="1"/>
  <c r="O157" i="1"/>
  <c r="J157" i="1"/>
  <c r="P157" i="1" s="1"/>
  <c r="O156" i="1"/>
  <c r="J156" i="1"/>
  <c r="P156" i="1" s="1"/>
  <c r="O155" i="1"/>
  <c r="J155" i="1"/>
  <c r="P155" i="1" s="1"/>
  <c r="O154" i="1"/>
  <c r="J154" i="1"/>
  <c r="P154" i="1" s="1"/>
  <c r="O153" i="1"/>
  <c r="J153" i="1"/>
  <c r="P153" i="1" s="1"/>
  <c r="O152" i="1"/>
  <c r="J152" i="1"/>
  <c r="P152" i="1" s="1"/>
  <c r="O151" i="1"/>
  <c r="J151" i="1"/>
  <c r="P151" i="1" s="1"/>
  <c r="O150" i="1"/>
  <c r="J150" i="1"/>
  <c r="P150" i="1" s="1"/>
  <c r="O149" i="1"/>
  <c r="J149" i="1"/>
  <c r="P149" i="1" s="1"/>
  <c r="O148" i="1"/>
  <c r="J148" i="1"/>
  <c r="P148" i="1" s="1"/>
  <c r="O147" i="1"/>
  <c r="J147" i="1"/>
  <c r="P147" i="1" s="1"/>
  <c r="O146" i="1"/>
  <c r="J146" i="1"/>
  <c r="P146" i="1" s="1"/>
  <c r="O145" i="1"/>
  <c r="J145" i="1"/>
  <c r="P145" i="1" s="1"/>
  <c r="O144" i="1"/>
  <c r="J144" i="1"/>
  <c r="P144" i="1" s="1"/>
  <c r="O143" i="1"/>
  <c r="J143" i="1"/>
  <c r="P143" i="1" s="1"/>
  <c r="J141" i="1"/>
  <c r="O140" i="1"/>
  <c r="J140" i="1"/>
  <c r="P140" i="1" s="1"/>
  <c r="O139" i="1"/>
  <c r="J139" i="1"/>
  <c r="P139" i="1" s="1"/>
  <c r="O138" i="1"/>
  <c r="J138" i="1"/>
  <c r="P138" i="1" s="1"/>
  <c r="O137" i="1"/>
  <c r="J137" i="1"/>
  <c r="P137" i="1" s="1"/>
  <c r="O136" i="1"/>
  <c r="J136" i="1"/>
  <c r="P136" i="1" s="1"/>
  <c r="O135" i="1"/>
  <c r="J135" i="1"/>
  <c r="P135" i="1" s="1"/>
  <c r="O134" i="1"/>
  <c r="J134" i="1"/>
  <c r="P134" i="1" s="1"/>
  <c r="O133" i="1"/>
  <c r="J133" i="1"/>
  <c r="P133" i="1" s="1"/>
  <c r="O132" i="1"/>
  <c r="J132" i="1"/>
  <c r="P132" i="1" s="1"/>
  <c r="O131" i="1"/>
  <c r="J131" i="1"/>
  <c r="P131" i="1" s="1"/>
  <c r="O130" i="1"/>
  <c r="J130" i="1"/>
  <c r="P130" i="1" s="1"/>
  <c r="O129" i="1"/>
  <c r="J129" i="1"/>
  <c r="P129" i="1" s="1"/>
  <c r="O128" i="1"/>
  <c r="J128" i="1"/>
  <c r="P128" i="1" s="1"/>
  <c r="P127" i="1"/>
  <c r="O127" i="1"/>
  <c r="O126" i="1"/>
  <c r="J126" i="1"/>
  <c r="P126" i="1" s="1"/>
  <c r="O125" i="1"/>
  <c r="J125" i="1"/>
  <c r="P125" i="1" s="1"/>
  <c r="O124" i="1"/>
  <c r="J124" i="1"/>
  <c r="P124" i="1" s="1"/>
  <c r="O123" i="1"/>
  <c r="J123" i="1"/>
  <c r="P123" i="1" s="1"/>
  <c r="O122" i="1"/>
  <c r="J122" i="1"/>
  <c r="P122" i="1" s="1"/>
  <c r="O121" i="1"/>
  <c r="J121" i="1"/>
  <c r="P121" i="1" s="1"/>
  <c r="O120" i="1"/>
  <c r="J120" i="1"/>
  <c r="P120" i="1" s="1"/>
  <c r="O119" i="1"/>
  <c r="J119" i="1"/>
  <c r="P119" i="1" s="1"/>
  <c r="O118" i="1"/>
  <c r="J118" i="1"/>
  <c r="P118" i="1" s="1"/>
  <c r="O117" i="1"/>
  <c r="J117" i="1"/>
  <c r="P117" i="1" s="1"/>
  <c r="O116" i="1"/>
  <c r="J116" i="1"/>
  <c r="P116" i="1" s="1"/>
  <c r="O115" i="1"/>
  <c r="J115" i="1"/>
  <c r="P115" i="1" s="1"/>
  <c r="O114" i="1"/>
  <c r="J114" i="1"/>
  <c r="P114" i="1" s="1"/>
  <c r="O113" i="1"/>
  <c r="J113" i="1"/>
  <c r="P113" i="1" s="1"/>
  <c r="O112" i="1"/>
  <c r="J112" i="1"/>
  <c r="P112" i="1" s="1"/>
  <c r="O111" i="1"/>
  <c r="J111" i="1"/>
  <c r="P111" i="1" s="1"/>
  <c r="O110" i="1"/>
  <c r="J110" i="1"/>
  <c r="P110" i="1" s="1"/>
  <c r="O109" i="1"/>
  <c r="J109" i="1"/>
  <c r="P109" i="1" s="1"/>
  <c r="O107" i="1"/>
  <c r="J107" i="1"/>
  <c r="P107" i="1" s="1"/>
  <c r="O106" i="1"/>
  <c r="J106" i="1"/>
  <c r="P106" i="1" s="1"/>
  <c r="O105" i="1"/>
  <c r="J105" i="1"/>
  <c r="P105" i="1" s="1"/>
  <c r="O104" i="1"/>
  <c r="J104" i="1"/>
  <c r="P104" i="1" s="1"/>
  <c r="O103" i="1"/>
  <c r="J103" i="1"/>
  <c r="P103" i="1" s="1"/>
  <c r="O102" i="1"/>
  <c r="J102" i="1"/>
  <c r="P102" i="1" s="1"/>
  <c r="O101" i="1"/>
  <c r="J101" i="1"/>
  <c r="P101" i="1" s="1"/>
  <c r="O100" i="1"/>
  <c r="J100" i="1"/>
  <c r="P100" i="1" s="1"/>
  <c r="O99" i="1"/>
  <c r="J99" i="1"/>
  <c r="P99" i="1" s="1"/>
  <c r="O98" i="1"/>
  <c r="J98" i="1"/>
  <c r="P98" i="1" s="1"/>
  <c r="O97" i="1"/>
  <c r="J97" i="1"/>
  <c r="P97" i="1" s="1"/>
  <c r="O96" i="1"/>
  <c r="J96" i="1"/>
  <c r="P96" i="1" s="1"/>
  <c r="O95" i="1"/>
  <c r="J95" i="1"/>
  <c r="P95" i="1" s="1"/>
  <c r="O94" i="1"/>
  <c r="J94" i="1"/>
  <c r="P94" i="1" s="1"/>
  <c r="O93" i="1"/>
  <c r="O92" i="1"/>
  <c r="J92" i="1"/>
  <c r="P92" i="1" s="1"/>
  <c r="O91" i="1"/>
  <c r="J91" i="1"/>
  <c r="P91" i="1" s="1"/>
  <c r="O90" i="1"/>
  <c r="J90" i="1"/>
  <c r="P90" i="1" s="1"/>
  <c r="O89" i="1"/>
  <c r="J89" i="1"/>
  <c r="P89" i="1" s="1"/>
  <c r="O88" i="1"/>
  <c r="J88" i="1"/>
  <c r="P88" i="1" s="1"/>
  <c r="O87" i="1"/>
  <c r="J87" i="1"/>
  <c r="P87" i="1" s="1"/>
  <c r="O86" i="1"/>
  <c r="J86" i="1"/>
  <c r="P86" i="1" s="1"/>
  <c r="O85" i="1"/>
  <c r="J85" i="1"/>
  <c r="P85" i="1" s="1"/>
  <c r="O84" i="1"/>
  <c r="J84" i="1"/>
  <c r="P84" i="1" s="1"/>
  <c r="O83" i="1"/>
  <c r="J83" i="1"/>
  <c r="P83" i="1" s="1"/>
  <c r="O82" i="1"/>
  <c r="J82" i="1"/>
  <c r="P82" i="1" s="1"/>
  <c r="O81" i="1"/>
  <c r="J81" i="1"/>
  <c r="P81" i="1" s="1"/>
  <c r="O80" i="1"/>
  <c r="J80" i="1"/>
  <c r="P80" i="1" s="1"/>
  <c r="O79" i="1"/>
  <c r="J79" i="1"/>
  <c r="P79" i="1" s="1"/>
  <c r="O78" i="1"/>
  <c r="J78" i="1"/>
  <c r="P78" i="1" s="1"/>
  <c r="O77" i="1"/>
  <c r="J77" i="1"/>
  <c r="P77" i="1" s="1"/>
  <c r="O76" i="1"/>
  <c r="J76" i="1"/>
  <c r="P76" i="1" s="1"/>
  <c r="O75" i="1"/>
  <c r="J75" i="1"/>
  <c r="P75" i="1" s="1"/>
  <c r="O74" i="1"/>
  <c r="J74" i="1"/>
  <c r="P74" i="1" s="1"/>
  <c r="O73" i="1"/>
  <c r="J73" i="1"/>
  <c r="P73" i="1" s="1"/>
  <c r="O72" i="1"/>
  <c r="J72" i="1"/>
  <c r="P72" i="1" s="1"/>
  <c r="O71" i="1"/>
  <c r="J71" i="1"/>
  <c r="P71" i="1" s="1"/>
  <c r="O70" i="1"/>
  <c r="J70" i="1"/>
  <c r="P70" i="1" s="1"/>
  <c r="O69" i="1"/>
  <c r="J69" i="1"/>
  <c r="P69" i="1" s="1"/>
  <c r="O68" i="1"/>
  <c r="J68" i="1"/>
  <c r="P68" i="1" s="1"/>
  <c r="O67" i="1"/>
  <c r="J67" i="1"/>
  <c r="P67" i="1" s="1"/>
  <c r="O66" i="1"/>
  <c r="J66" i="1"/>
  <c r="P66" i="1" s="1"/>
  <c r="O64" i="1"/>
  <c r="J64" i="1"/>
  <c r="P64" i="1" s="1"/>
  <c r="O63" i="1"/>
  <c r="J63" i="1"/>
  <c r="P63" i="1" s="1"/>
  <c r="O62" i="1"/>
  <c r="J62" i="1"/>
  <c r="P62" i="1" s="1"/>
  <c r="O61" i="1"/>
  <c r="J61" i="1"/>
  <c r="P61" i="1" s="1"/>
  <c r="O60" i="1"/>
  <c r="J60" i="1"/>
  <c r="P60" i="1" s="1"/>
  <c r="O59" i="1"/>
  <c r="J59" i="1"/>
  <c r="P59" i="1" s="1"/>
  <c r="O58" i="1"/>
  <c r="J58" i="1"/>
  <c r="P58" i="1" s="1"/>
  <c r="O57" i="1"/>
  <c r="J57" i="1"/>
  <c r="P57" i="1" s="1"/>
  <c r="O56" i="1"/>
  <c r="J56" i="1"/>
  <c r="P56" i="1" s="1"/>
  <c r="O55" i="1"/>
  <c r="J55" i="1"/>
  <c r="P55" i="1" s="1"/>
  <c r="O54" i="1"/>
  <c r="J54" i="1"/>
  <c r="P54" i="1" s="1"/>
  <c r="O53" i="1"/>
  <c r="J53" i="1"/>
  <c r="P53" i="1" s="1"/>
  <c r="O52" i="1"/>
  <c r="J52" i="1"/>
  <c r="P52" i="1" s="1"/>
  <c r="O51" i="1"/>
  <c r="J51" i="1"/>
  <c r="P51" i="1" s="1"/>
  <c r="O50" i="1"/>
  <c r="J50" i="1"/>
  <c r="P50" i="1" s="1"/>
  <c r="O49" i="1"/>
  <c r="J49" i="1"/>
  <c r="P49" i="1" s="1"/>
  <c r="O48" i="1"/>
  <c r="J48" i="1"/>
  <c r="P48" i="1" s="1"/>
  <c r="O47" i="1"/>
  <c r="J47" i="1"/>
  <c r="P47" i="1" s="1"/>
  <c r="O46" i="1"/>
  <c r="J46" i="1"/>
  <c r="P46" i="1" s="1"/>
  <c r="O44" i="1"/>
  <c r="J44" i="1"/>
  <c r="P44" i="1" s="1"/>
  <c r="O43" i="1"/>
  <c r="J43" i="1"/>
  <c r="P43" i="1" s="1"/>
  <c r="O42" i="1"/>
  <c r="J42" i="1"/>
  <c r="P42" i="1" s="1"/>
  <c r="O41" i="1"/>
  <c r="J41" i="1"/>
  <c r="P41" i="1" s="1"/>
  <c r="O40" i="1"/>
  <c r="J40" i="1"/>
  <c r="P40" i="1" s="1"/>
  <c r="O39" i="1"/>
  <c r="J39" i="1"/>
  <c r="P39" i="1" s="1"/>
  <c r="O38" i="1"/>
  <c r="J38" i="1"/>
  <c r="P38" i="1" s="1"/>
  <c r="O37" i="1"/>
  <c r="J37" i="1"/>
  <c r="P37" i="1" s="1"/>
  <c r="O36" i="1"/>
  <c r="J36" i="1"/>
  <c r="P36" i="1" s="1"/>
  <c r="O35" i="1"/>
  <c r="J35" i="1"/>
  <c r="P35" i="1" s="1"/>
  <c r="O34" i="1"/>
  <c r="J34" i="1"/>
  <c r="P34" i="1" s="1"/>
  <c r="O33" i="1"/>
  <c r="J33" i="1"/>
  <c r="P33" i="1" s="1"/>
  <c r="O32" i="1"/>
  <c r="J32" i="1"/>
  <c r="P32" i="1" s="1"/>
  <c r="O31" i="1"/>
  <c r="J31" i="1"/>
  <c r="P31" i="1" s="1"/>
  <c r="O30" i="1"/>
  <c r="J30" i="1"/>
  <c r="P30" i="1" s="1"/>
  <c r="O29" i="1"/>
  <c r="J29" i="1"/>
  <c r="P29" i="1" s="1"/>
  <c r="O28" i="1"/>
  <c r="J28" i="1"/>
  <c r="P28" i="1" s="1"/>
  <c r="O27" i="1"/>
  <c r="J27" i="1"/>
  <c r="P27" i="1" s="1"/>
  <c r="O26" i="1"/>
  <c r="J26" i="1"/>
  <c r="P26" i="1" s="1"/>
  <c r="O25" i="1"/>
  <c r="J25" i="1"/>
  <c r="P25" i="1" s="1"/>
  <c r="O24" i="1"/>
  <c r="J24" i="1"/>
  <c r="P24" i="1" s="1"/>
  <c r="O23" i="1"/>
  <c r="J23" i="1"/>
  <c r="P23" i="1" s="1"/>
  <c r="O22" i="1"/>
  <c r="J22" i="1"/>
  <c r="P22" i="1" s="1"/>
  <c r="O21" i="1"/>
  <c r="J21" i="1"/>
  <c r="P21" i="1" s="1"/>
  <c r="O20" i="1"/>
  <c r="J20" i="1"/>
  <c r="P20" i="1" s="1"/>
  <c r="O18" i="1"/>
  <c r="J18" i="1"/>
  <c r="P18" i="1" s="1"/>
  <c r="O17" i="1"/>
  <c r="J17" i="1"/>
  <c r="P17" i="1" s="1"/>
  <c r="O16" i="1"/>
  <c r="J16" i="1"/>
  <c r="P16" i="1" s="1"/>
  <c r="O15" i="1"/>
  <c r="J15" i="1"/>
  <c r="P15" i="1" s="1"/>
  <c r="O14" i="1"/>
  <c r="J14" i="1"/>
  <c r="P14" i="1" s="1"/>
  <c r="O13" i="1"/>
  <c r="J13" i="1"/>
  <c r="P13" i="1" s="1"/>
  <c r="O12" i="1"/>
  <c r="J12" i="1"/>
  <c r="P12" i="1" s="1"/>
  <c r="O10" i="1"/>
  <c r="J10" i="1"/>
  <c r="P10" i="1" s="1"/>
  <c r="J7" i="1"/>
  <c r="J9" i="1" l="1"/>
  <c r="J142" i="1"/>
  <c r="J8" i="1"/>
  <c r="J11" i="1"/>
  <c r="P11" i="1" s="1"/>
  <c r="J108" i="1"/>
  <c r="O8" i="5"/>
  <c r="O17" i="2"/>
  <c r="O19" i="2"/>
  <c r="O12" i="2"/>
  <c r="O18" i="2"/>
  <c r="P23" i="5"/>
  <c r="O23" i="5"/>
  <c r="P11" i="5"/>
  <c r="O11" i="5"/>
  <c r="P10" i="5"/>
  <c r="O10" i="5"/>
  <c r="J7" i="5"/>
  <c r="O38" i="4"/>
  <c r="P38" i="4"/>
  <c r="P25" i="4"/>
  <c r="O25" i="4"/>
  <c r="P24" i="4"/>
  <c r="O24" i="4"/>
  <c r="P23" i="4"/>
  <c r="O23" i="4"/>
  <c r="P22" i="4"/>
  <c r="O22" i="4"/>
  <c r="P13" i="4"/>
  <c r="O13" i="4"/>
  <c r="P10" i="4"/>
  <c r="O10" i="4"/>
  <c r="P28" i="3"/>
  <c r="O28" i="3"/>
  <c r="P27" i="3"/>
  <c r="O27" i="3"/>
  <c r="P24" i="3"/>
  <c r="O24" i="3"/>
  <c r="P23" i="3"/>
  <c r="O23" i="3"/>
  <c r="O21" i="3"/>
  <c r="P21" i="3"/>
  <c r="P14" i="3"/>
  <c r="O14" i="3"/>
  <c r="P13" i="3"/>
  <c r="O13" i="3"/>
  <c r="P8" i="3"/>
  <c r="O8" i="3"/>
  <c r="P7" i="3"/>
  <c r="O7" i="3"/>
  <c r="O36" i="2"/>
  <c r="P36" i="2"/>
  <c r="O28" i="2"/>
  <c r="P28" i="2"/>
  <c r="O7" i="2"/>
  <c r="P7" i="2"/>
  <c r="O170" i="1"/>
  <c r="P170" i="1"/>
  <c r="P142" i="1"/>
  <c r="O142" i="1"/>
  <c r="P141" i="1"/>
  <c r="O141" i="1"/>
  <c r="P108" i="1"/>
  <c r="O108" i="1"/>
  <c r="O11" i="1"/>
  <c r="P9" i="1"/>
  <c r="O9" i="1"/>
  <c r="P8" i="1"/>
  <c r="O8" i="1"/>
  <c r="P7" i="1"/>
  <c r="O7" i="1"/>
  <c r="O7" i="5" l="1"/>
  <c r="P7" i="5"/>
</calcChain>
</file>

<file path=xl/sharedStrings.xml><?xml version="1.0" encoding="utf-8"?>
<sst xmlns="http://schemas.openxmlformats.org/spreadsheetml/2006/main" count="889" uniqueCount="639">
  <si>
    <t>Clínica Médica</t>
  </si>
  <si>
    <t>AMRIGS</t>
  </si>
  <si>
    <t>AMP</t>
  </si>
  <si>
    <t>SANAR</t>
  </si>
  <si>
    <t>TÓPICO</t>
  </si>
  <si>
    <t>ASSUNTO</t>
  </si>
  <si>
    <t>TEMPO</t>
  </si>
  <si>
    <t>QUESTÕES</t>
  </si>
  <si>
    <t>ACERTOS</t>
  </si>
  <si>
    <t>%</t>
  </si>
  <si>
    <t>ADICIONAL</t>
  </si>
  <si>
    <t>⏱ REVISÃO</t>
  </si>
  <si>
    <t>🚨 ALERTA CRÍTICO</t>
  </si>
  <si>
    <t>CARDIO</t>
  </si>
  <si>
    <t>Insuficiência cardíaca</t>
  </si>
  <si>
    <t>Dislipidemia</t>
  </si>
  <si>
    <t>Valvopatias</t>
  </si>
  <si>
    <t>Febre Reumática</t>
  </si>
  <si>
    <t>Endocardite infecciosa</t>
  </si>
  <si>
    <t>Doença arterial coronariana</t>
  </si>
  <si>
    <t>Abordagem dos principais sintomas</t>
  </si>
  <si>
    <t>Edema agudo de pulmão</t>
  </si>
  <si>
    <t>GASTRO ENTERO</t>
  </si>
  <si>
    <t>Cirrose: Consequências</t>
  </si>
  <si>
    <t>Cirrose: Causas</t>
  </si>
  <si>
    <t>Pancreatite Crônica</t>
  </si>
  <si>
    <t>NEURO</t>
  </si>
  <si>
    <t>Cefaleia</t>
  </si>
  <si>
    <t>Vertigem</t>
  </si>
  <si>
    <t>Dor</t>
  </si>
  <si>
    <t>HEMATO</t>
  </si>
  <si>
    <t>Linfomas</t>
  </si>
  <si>
    <t>Leucemia aguda</t>
  </si>
  <si>
    <t>Hemoterapia</t>
  </si>
  <si>
    <t>Leucemia crônica</t>
  </si>
  <si>
    <t>Mieloma múltiplo</t>
  </si>
  <si>
    <t>NEFRO</t>
  </si>
  <si>
    <t>Nefropatia diabética</t>
  </si>
  <si>
    <t>Nefropatia hipertensiva</t>
  </si>
  <si>
    <t>DERMATO</t>
  </si>
  <si>
    <t>Dermatoviroses</t>
  </si>
  <si>
    <t>Acne e infecções de pele</t>
  </si>
  <si>
    <t>Micoses Cutâneas</t>
  </si>
  <si>
    <t>Parasitoses de pele</t>
  </si>
  <si>
    <t>Leishmaniose Tegumentar Americana</t>
  </si>
  <si>
    <t>REUMATO</t>
  </si>
  <si>
    <t>Osteoartrite e doenças microcristalinas</t>
  </si>
  <si>
    <t>Artrite Séptica</t>
  </si>
  <si>
    <t>Fibromialgia</t>
  </si>
  <si>
    <t>Osteoporose</t>
  </si>
  <si>
    <t>Artrite idiopática Juvenil</t>
  </si>
  <si>
    <t>Lombalgia</t>
  </si>
  <si>
    <t>ENDOCRINO</t>
  </si>
  <si>
    <t>Hipotireoidismo</t>
  </si>
  <si>
    <t>Hipertireoidismo e Tireotoxicose</t>
  </si>
  <si>
    <t>Tireoidites</t>
  </si>
  <si>
    <t>Adrenal</t>
  </si>
  <si>
    <t>Hipófise</t>
  </si>
  <si>
    <t>Paratireoide</t>
  </si>
  <si>
    <t>Tireoide: Conceitos</t>
  </si>
  <si>
    <t>GERIATRIA</t>
  </si>
  <si>
    <t>Avaliação Geriátrica</t>
  </si>
  <si>
    <t>Cuidados Paliativos</t>
  </si>
  <si>
    <t>IMUNO</t>
  </si>
  <si>
    <t>Imunodeficiências</t>
  </si>
  <si>
    <t>Imunoterapia</t>
  </si>
  <si>
    <t>INFECTO</t>
  </si>
  <si>
    <t>Animais peçonhentos</t>
  </si>
  <si>
    <t>Hepatites virais</t>
  </si>
  <si>
    <t>Leptospirose e Hantavirose</t>
  </si>
  <si>
    <t>Tuberculose</t>
  </si>
  <si>
    <t>-</t>
  </si>
  <si>
    <t>Imunização de Adulto e Idoso</t>
  </si>
  <si>
    <t>Meningites agudas</t>
  </si>
  <si>
    <t>Mononucleose</t>
  </si>
  <si>
    <t>Micoses Profundas</t>
  </si>
  <si>
    <t>Febre Amarela</t>
  </si>
  <si>
    <t>Meningoencefalites</t>
  </si>
  <si>
    <t>Febre Origem Indeterminada</t>
  </si>
  <si>
    <t>Febre Tifoide</t>
  </si>
  <si>
    <t>ONCO</t>
  </si>
  <si>
    <t>PNEUMO</t>
  </si>
  <si>
    <t>Asma</t>
  </si>
  <si>
    <t>Bronquiectasias</t>
  </si>
  <si>
    <t>Derrame Pleural</t>
  </si>
  <si>
    <t>Crise Asmática</t>
  </si>
  <si>
    <t>Abordagem dos sintomas</t>
  </si>
  <si>
    <t>Neoplasias</t>
  </si>
  <si>
    <t>Tabagismo</t>
  </si>
  <si>
    <t>Espirometria</t>
  </si>
  <si>
    <t>Abscesso pulmonar</t>
  </si>
  <si>
    <t>Nódulo Pulmonar Solitário</t>
  </si>
  <si>
    <t>Sarcoidose</t>
  </si>
  <si>
    <t>PSIQUIATRIA</t>
  </si>
  <si>
    <t>Transtornos de Humor</t>
  </si>
  <si>
    <t>TERAPIA
INTENSIVA</t>
  </si>
  <si>
    <t>Sepse</t>
  </si>
  <si>
    <t>Choque</t>
  </si>
  <si>
    <t>Nutrição no paciente crítico</t>
  </si>
  <si>
    <t>Intoxicações exógenas</t>
  </si>
  <si>
    <t>Sedação e Analgesia</t>
  </si>
  <si>
    <t>Total</t>
  </si>
  <si>
    <t>(horas)</t>
  </si>
  <si>
    <t>(nº questões)</t>
  </si>
  <si>
    <t xml:space="preserve"> </t>
  </si>
  <si>
    <t>Cirurgia</t>
  </si>
  <si>
    <t>AMIRGS</t>
  </si>
  <si>
    <t>CIRURGIA GERAL</t>
  </si>
  <si>
    <t>Apendicite aguda</t>
  </si>
  <si>
    <t>Pancreatite aguda</t>
  </si>
  <si>
    <t>Abdome agudo perfurativo</t>
  </si>
  <si>
    <t>Hérnias</t>
  </si>
  <si>
    <t>Doença diverticular dos Cólons</t>
  </si>
  <si>
    <t>Isquemia mesentérica</t>
  </si>
  <si>
    <t>Infecção necrosante dos tecidos moles</t>
  </si>
  <si>
    <t>Sarcoma</t>
  </si>
  <si>
    <t>TRAUMA</t>
  </si>
  <si>
    <t>Trauma vertebral e raquimedular</t>
  </si>
  <si>
    <t>Trauma de face</t>
  </si>
  <si>
    <t>APARELHO DIGESTIVO</t>
  </si>
  <si>
    <t>Tumores de pâncreas e periampulares</t>
  </si>
  <si>
    <t>Doença ulcerosa péptica</t>
  </si>
  <si>
    <t>Transplante hepático</t>
  </si>
  <si>
    <t>Lesões hepáticas malignas</t>
  </si>
  <si>
    <t>PEDIATRIA</t>
  </si>
  <si>
    <t>PLÁSTICA</t>
  </si>
  <si>
    <t>CABEÇA E PESCOÇO</t>
  </si>
  <si>
    <t>Massas cervicais</t>
  </si>
  <si>
    <t>Abcessos cervicais</t>
  </si>
  <si>
    <t>URO</t>
  </si>
  <si>
    <t>Lítiase Urinária</t>
  </si>
  <si>
    <t>Hiperplasia Prostática Benigna</t>
  </si>
  <si>
    <t>Hematúria</t>
  </si>
  <si>
    <t>TORÁCICA</t>
  </si>
  <si>
    <t>Tumores do Mediastino</t>
  </si>
  <si>
    <t>VASCULAR</t>
  </si>
  <si>
    <t>Dissecção Aguda da Aorta</t>
  </si>
  <si>
    <t>Aneurismas Vasculares</t>
  </si>
  <si>
    <t>ORTO</t>
  </si>
  <si>
    <t>Fraturas</t>
  </si>
  <si>
    <t>Osteomielite</t>
  </si>
  <si>
    <t>OFTALMO</t>
  </si>
  <si>
    <t>Semiologia</t>
  </si>
  <si>
    <t>Urgências Oculares</t>
  </si>
  <si>
    <t>Glaucoma</t>
  </si>
  <si>
    <t>ORL</t>
  </si>
  <si>
    <t>Amigdalites</t>
  </si>
  <si>
    <t>Sinusopatias</t>
  </si>
  <si>
    <t>Epistaxe</t>
  </si>
  <si>
    <t>Paralisia facial periférica</t>
  </si>
  <si>
    <t xml:space="preserve">Ginecologia e Obstetrícia </t>
  </si>
  <si>
    <t>OBSTETRÍCIA</t>
  </si>
  <si>
    <t>GINECO</t>
  </si>
  <si>
    <t>Climatério</t>
  </si>
  <si>
    <t>Amenorreia</t>
  </si>
  <si>
    <t>Anatomia</t>
  </si>
  <si>
    <t>Infertilidade conjugal</t>
  </si>
  <si>
    <t>Endometriose</t>
  </si>
  <si>
    <t>Violência e abortamento legal</t>
  </si>
  <si>
    <t>CONTATO</t>
  </si>
  <si>
    <t>2 SEMANAS</t>
  </si>
  <si>
    <t>4 SEMANAS</t>
  </si>
  <si>
    <t>Pediatria</t>
  </si>
  <si>
    <t>URGÊNCIAS PEDIÁTRICAS</t>
  </si>
  <si>
    <t>Pneumonia comunitária</t>
  </si>
  <si>
    <t>Bronquiolite</t>
  </si>
  <si>
    <t>Meningites</t>
  </si>
  <si>
    <t>Crises convulsivas</t>
  </si>
  <si>
    <t>Diarreia aguda e Desidratação</t>
  </si>
  <si>
    <t>Anafilaxia</t>
  </si>
  <si>
    <t>Urticária e angioedema</t>
  </si>
  <si>
    <t>Febre sem sinais localizatórios</t>
  </si>
  <si>
    <t>PEDIATRIA GERAL</t>
  </si>
  <si>
    <t>Aleitamento materno</t>
  </si>
  <si>
    <t>Obesidade na infância</t>
  </si>
  <si>
    <t>Maus tratos e violências</t>
  </si>
  <si>
    <t>Desnutrição energético proteica</t>
  </si>
  <si>
    <t>Baixa estatura</t>
  </si>
  <si>
    <t>NEONATO</t>
  </si>
  <si>
    <t>Cardiopatias Congênitas</t>
  </si>
  <si>
    <t>Fibrose Cística</t>
  </si>
  <si>
    <t>Constipação</t>
  </si>
  <si>
    <t>Parasitoses</t>
  </si>
  <si>
    <t>ENDÓCRINO</t>
  </si>
  <si>
    <t>Hiperplasia Adrenal Congênita</t>
  </si>
  <si>
    <t>Preventiva</t>
  </si>
  <si>
    <t>SAÚDE COLETIVA</t>
  </si>
  <si>
    <t>Declaração de Óbito</t>
  </si>
  <si>
    <t>ÉTICA MÉDICA</t>
  </si>
  <si>
    <t>ESTATÍSTICA</t>
  </si>
  <si>
    <t>EPIDEMIO</t>
  </si>
  <si>
    <t>Notificação compulsória</t>
  </si>
  <si>
    <t>Provas antigas e simulados</t>
  </si>
  <si>
    <t>MÊS</t>
  </si>
  <si>
    <t>PROVA</t>
  </si>
  <si>
    <t>EDIÇÃO</t>
  </si>
  <si>
    <t>TOTAL DE QUESTÕES</t>
  </si>
  <si>
    <t>ANOTAÇÕES</t>
  </si>
  <si>
    <t>JANEIRO</t>
  </si>
  <si>
    <t>Enamed</t>
  </si>
  <si>
    <t>10 anuladas</t>
  </si>
  <si>
    <t>FEVEREIRO</t>
  </si>
  <si>
    <t xml:space="preserve">AMP </t>
  </si>
  <si>
    <t>CLM: 63% CLC: 70% GO: 80% PED: 50% PREV: 52%
Esclerose Tuberosa, sopro CIA, conjuntivite RN, profilaxia estrepto gestação, mola hidatiforme</t>
  </si>
  <si>
    <t>MARÇO</t>
  </si>
  <si>
    <t>Lepstopirose, DPOC, Angioedema hereditário, Acatisia, Pólipo de Vesicula; DRGE, CA de prostata, Retocolite, Hernia de Esofago; HDA; Abortamento e sangramentos na gravidez; Reanimação neonatal, valor de P</t>
  </si>
  <si>
    <t>Enamed/Enare</t>
  </si>
  <si>
    <t>Lepstopirose, Hepatites, Nódulos hepáticos, Diverticulose</t>
  </si>
  <si>
    <t>JUNHO</t>
  </si>
  <si>
    <t>JULHO</t>
  </si>
  <si>
    <t>AGOSTO</t>
  </si>
  <si>
    <t>SETEMBRO</t>
  </si>
  <si>
    <t>Abuso de substâncias</t>
  </si>
  <si>
    <t>Saúde LGBT</t>
  </si>
  <si>
    <t>Pneumoconioses</t>
  </si>
  <si>
    <t>Atraso Puberal</t>
  </si>
  <si>
    <t>Classificação IMC</t>
  </si>
  <si>
    <t>Desnutrição</t>
  </si>
  <si>
    <t>Marcos do Desenvolvimento</t>
  </si>
  <si>
    <t>Técnica e Dificuldades no AM</t>
  </si>
  <si>
    <t>Psiquiatria Pediátrica</t>
  </si>
  <si>
    <t>Síndrome Nefrótica Ped</t>
  </si>
  <si>
    <t>Farmacodermias Ped</t>
  </si>
  <si>
    <t>Anemia Ferropriva Ped</t>
  </si>
  <si>
    <t>Apendicite Ped</t>
  </si>
  <si>
    <t>Convulsão Febril</t>
  </si>
  <si>
    <t>Triagem de Cardiopatia Crítica</t>
  </si>
  <si>
    <t>Clampeamento de Cordão</t>
  </si>
  <si>
    <t>Sifilis Congênita</t>
  </si>
  <si>
    <t>Incompatibilidade ABO</t>
  </si>
  <si>
    <t>Vacina BCG</t>
  </si>
  <si>
    <t>Dengue Pediátrico</t>
  </si>
  <si>
    <t>Síndrome de Turner</t>
  </si>
  <si>
    <t>Refluxo Fisiológico</t>
  </si>
  <si>
    <t>Constipação Funcional</t>
  </si>
  <si>
    <t>PCR Pediátrica</t>
  </si>
  <si>
    <t>Cobra</t>
  </si>
  <si>
    <t>Hemangiomas e outras lesões vasculares</t>
  </si>
  <si>
    <t>USG obstétrica inicial</t>
  </si>
  <si>
    <t>Corionicidade e amnionicidade</t>
  </si>
  <si>
    <t>FR para prematuridade</t>
  </si>
  <si>
    <t>Placenta prévia</t>
  </si>
  <si>
    <t>Abortamento</t>
  </si>
  <si>
    <t>Apendicite aguda na gestante</t>
  </si>
  <si>
    <t>DST na gestante</t>
  </si>
  <si>
    <t>Prolapso genital feminino</t>
  </si>
  <si>
    <t>FR Hiperplasia endometrial</t>
  </si>
  <si>
    <t>Screening população geral câncer de mama</t>
  </si>
  <si>
    <t>Nódulos mamários</t>
  </si>
  <si>
    <t>Violência sexual</t>
  </si>
  <si>
    <t>Úlceras genitais infecciosas</t>
  </si>
  <si>
    <t>Classificação de endometriose</t>
  </si>
  <si>
    <t>Dismenorreia</t>
  </si>
  <si>
    <t>Tratamento SOP</t>
  </si>
  <si>
    <t>Investigação de infertilidade</t>
  </si>
  <si>
    <t>Fisiologia menstrual</t>
  </si>
  <si>
    <t>SARA/SDRA</t>
  </si>
  <si>
    <t>Nutrição no Doente Crítico</t>
  </si>
  <si>
    <t>Crioglobulinemia</t>
  </si>
  <si>
    <t>Espondilite Anquilosante</t>
  </si>
  <si>
    <t>Osteomalácia</t>
  </si>
  <si>
    <t>Lúpus</t>
  </si>
  <si>
    <t>Transtornos depressivos</t>
  </si>
  <si>
    <t>Transtornos de personalidade</t>
  </si>
  <si>
    <t>DPOC ambulatorial</t>
  </si>
  <si>
    <t>Doença Pulmonar Intersticial</t>
  </si>
  <si>
    <t>Hipercalcemia Relacionada à Malignidade</t>
  </si>
  <si>
    <t>Miller Fisher</t>
  </si>
  <si>
    <t>Abordagem Inicial das Cefaleias</t>
  </si>
  <si>
    <t>AVC Isquêmico</t>
  </si>
  <si>
    <t>Semiologia renal</t>
  </si>
  <si>
    <t>Nefrolitíase</t>
  </si>
  <si>
    <t>Nefropatia por IgA</t>
  </si>
  <si>
    <t>Outras DH</t>
  </si>
  <si>
    <t>Fósforo e Magnésio</t>
  </si>
  <si>
    <t>Distúrbios do Cálcio</t>
  </si>
  <si>
    <t>Distúrbio do Potássio</t>
  </si>
  <si>
    <t>TB Extrapulmonar</t>
  </si>
  <si>
    <t>Febre Maculosa Brasileira</t>
  </si>
  <si>
    <t>Malária</t>
  </si>
  <si>
    <t>Leptospirose</t>
  </si>
  <si>
    <t>Influenza</t>
  </si>
  <si>
    <t>Dengue</t>
  </si>
  <si>
    <t>Angioedema Adquirido</t>
  </si>
  <si>
    <t>Deficiência de B12</t>
  </si>
  <si>
    <t>Depressão (Geriatria)</t>
  </si>
  <si>
    <t>Delirium</t>
  </si>
  <si>
    <t>Instabilidade Postural e Quedas</t>
  </si>
  <si>
    <t>Pancreatite Aguda</t>
  </si>
  <si>
    <t>Dispepsia e IBPs</t>
  </si>
  <si>
    <t>Retocolite Ulcerativa</t>
  </si>
  <si>
    <t>Conceitos e Avaliação Geral do Paciente Cirrótico</t>
  </si>
  <si>
    <t>Avaliação de Líquido Ascítico</t>
  </si>
  <si>
    <t>Nódulos Tireoideanos</t>
  </si>
  <si>
    <t>Hashimoto</t>
  </si>
  <si>
    <t>Tratamento Farmacológico e Cirurgico da Obesidade</t>
  </si>
  <si>
    <t>Insulinoterapia</t>
  </si>
  <si>
    <t>Cushing</t>
  </si>
  <si>
    <t>Síndrome Simpatomimética</t>
  </si>
  <si>
    <t>Tamponamento Cardíaco</t>
  </si>
  <si>
    <t>ECG distúrbios hidroeletrolíticos</t>
  </si>
  <si>
    <t>Infertilidade</t>
  </si>
  <si>
    <t>Osteomielite hematogênica</t>
  </si>
  <si>
    <t>Tratamento endoscópico de cálculos</t>
  </si>
  <si>
    <t>Trauma vascular de extremidades</t>
  </si>
  <si>
    <t>Doença arterial obstrutiva periférica</t>
  </si>
  <si>
    <t>Tumores de mediastino</t>
  </si>
  <si>
    <t>Nódulo pulmonar</t>
  </si>
  <si>
    <t>Atendimento inicial aos queimados</t>
  </si>
  <si>
    <t>Anestesia local</t>
  </si>
  <si>
    <t>Vias biliares pediátrica</t>
  </si>
  <si>
    <t>Trauma osteomuscular</t>
  </si>
  <si>
    <t>Trauma abdominal contuso</t>
  </si>
  <si>
    <t>Atendimento inicial ATLS</t>
  </si>
  <si>
    <t>Complicações pós-operatórias gerais</t>
  </si>
  <si>
    <t>Abdome Agudo Vascular</t>
  </si>
  <si>
    <t>Úlcera péptica perfurada</t>
  </si>
  <si>
    <t>Diverticulite Aguda</t>
  </si>
  <si>
    <t>Doença da Aorta</t>
  </si>
  <si>
    <t>Hiperparatireoidismo secundário</t>
  </si>
  <si>
    <t>Tumores neuroendócrinos</t>
  </si>
  <si>
    <t>Fígado - outras</t>
  </si>
  <si>
    <t>Carcinoma hepatocelular</t>
  </si>
  <si>
    <t>DRGE (CIR)</t>
  </si>
  <si>
    <t>Câncer de esôfago</t>
  </si>
  <si>
    <t>Adenocarcinoma de estômago</t>
  </si>
  <si>
    <t>Pólipos intestinais</t>
  </si>
  <si>
    <t>Doenças orificiais</t>
  </si>
  <si>
    <t>Câncer colorretal</t>
  </si>
  <si>
    <t>Financiamento do SUS</t>
  </si>
  <si>
    <t>Políticas em Saúde Mental</t>
  </si>
  <si>
    <t>Casos Clínicos APS</t>
  </si>
  <si>
    <t>Exacerbação Asma Ped</t>
  </si>
  <si>
    <t>Tuberculose doença</t>
  </si>
  <si>
    <t>Bronquiolite e Coqueluche</t>
  </si>
  <si>
    <t>Hérnias Ped</t>
  </si>
  <si>
    <t>CIA, CIV</t>
  </si>
  <si>
    <t>Incontinência urinária feminina</t>
  </si>
  <si>
    <t>Infecção ginecológica (várias)</t>
  </si>
  <si>
    <t>Asma ambulatorial</t>
  </si>
  <si>
    <t>Complicações Clínico-Ambulatoriais das Neoplasias</t>
  </si>
  <si>
    <t>Diálise</t>
  </si>
  <si>
    <t>Tratamento DRC</t>
  </si>
  <si>
    <t>Interpretação de Sorologia Hepatite B</t>
  </si>
  <si>
    <t>Chagas e elefantíase</t>
  </si>
  <si>
    <t>Trombocitopenia Induzida por heparina</t>
  </si>
  <si>
    <t>Anemias Hemolíticas Adquiridas</t>
  </si>
  <si>
    <t>Doença Celíaca</t>
  </si>
  <si>
    <t>Síndrome do Intestino Irritável</t>
  </si>
  <si>
    <t>Disfagias, Esofagite Eosinofílica e Acalasias</t>
  </si>
  <si>
    <t>DRGE e Barret</t>
  </si>
  <si>
    <t>Doença de Graves</t>
  </si>
  <si>
    <t>Classificação e Diagnóstico de Dislipidemias</t>
  </si>
  <si>
    <t>Cetoacidose Diabética</t>
  </si>
  <si>
    <t>Abordagem Inicial da Sepse e Tipos de Choque</t>
  </si>
  <si>
    <t>Abordagem Sepse</t>
  </si>
  <si>
    <t>Angina</t>
  </si>
  <si>
    <t>Endocardite Bacteriana</t>
  </si>
  <si>
    <t>Miocardite e Pericardite</t>
  </si>
  <si>
    <t>Fibrilação Atrial</t>
  </si>
  <si>
    <t>Trauma renal e de ureter</t>
  </si>
  <si>
    <t>Torção testicular</t>
  </si>
  <si>
    <t>Empiema pleural</t>
  </si>
  <si>
    <t>Reconstrução de mama</t>
  </si>
  <si>
    <t>Fraturas de face</t>
  </si>
  <si>
    <t>Vias aéreas</t>
  </si>
  <si>
    <t>Nutrição peroperatória</t>
  </si>
  <si>
    <t xml:space="preserve">Enamed </t>
  </si>
  <si>
    <t>Q1º</t>
  </si>
  <si>
    <t>Q2º</t>
  </si>
  <si>
    <t>Q3º ou última RP</t>
  </si>
  <si>
    <t>História do Sistema Único de Saúde (SUS) e Leis Orgânicas da Saúde, Lei 8080 e 8142</t>
  </si>
  <si>
    <t>Atenção Primária: Conceitos Iniciais, Estratégia de Saúde da Família, Modelo de Acessos, Equipes Multiprofissionais na APS, Financiamento, Planejamento Municipal e Ampliação da APS</t>
  </si>
  <si>
    <t>Ferramentas de atenção primária: Instrumentos de Abordagem Familiar, Método Clínico Centrado na Pessoa, SOAP, Projeto Terapêutico Singular, Abordagem Motivacional de Mudança de Hábitos</t>
  </si>
  <si>
    <t>Programas e Políticas: Política Nacional de Humanização, Política Nacional de Saúde Mental, Política Nacional de Promoção de Saúde, Programa Mais Médicos e Médicos pelo Brasil</t>
  </si>
  <si>
    <t>Financiamento e Funcionamento do Sistema Único de Saúde (SUS): Recursos e Gastos, Leis e Emendas, Saúde Suplementar, Normas Operacionais, Pactos</t>
  </si>
  <si>
    <t xml:space="preserve">Saúde do Trabalhador: Acidentes de Trabalho, Doenças e Agravos </t>
  </si>
  <si>
    <t>Vulnerabilidade Social: População Negra, População em Situação de Rua, Campo, Floresta e Águas, População Indígena e Comunidades Tradicionais, LGBTQIAPN+, Mulheres, Adolescentes e Idosos</t>
  </si>
  <si>
    <t>Medicina da Familia e Comunidade: Fundamentos da MFC, Especificidades da MFC, Áreas de Atuação e Procedimentos na Atenção Primária</t>
  </si>
  <si>
    <t>Benefícios sociais e previdenciários</t>
  </si>
  <si>
    <t>Ética médica:  Responsabilidade Profissional, Relacionamentos, Sigilo Profissional, Documentos Médicos, Telemedicina</t>
  </si>
  <si>
    <t>Medicina baseada em evidência e bioestátistica: Conceitos Básicos, Níveis de Evidência, Revisão Sistemática e Metanálise, Bioestatística</t>
  </si>
  <si>
    <t>Testes Diagnósticos: Sensibilidade, Especificidade, Tabela 2x2, Valores Preditivos, Acurácia e Curva ROC, RVS</t>
  </si>
  <si>
    <t>Endemia e epidemia: Conceitos Básicos, Modos de Transmissão, Endemia x Epidemia, Tipos de Epidemia</t>
  </si>
  <si>
    <t>Estudos epidemiológicos: Estudos Transversais, Agregados, Coorte e Caso-Controle, Risco Relativo e Odds-Ratio, Ensaios Clínicos, Vieses e Estratégias</t>
  </si>
  <si>
    <t>História Natural da Doença e Níveis de Prevenção: Conceitos Iniciais, Prevenção Primária, Prevenção Secundária, Prevenção Terciária, Prevenção Quaternária</t>
  </si>
  <si>
    <t>Vigilância em saúde: Vigilância Sanitária e Epidemiológica, Vieses do Rastreamento e Rastreamentos</t>
  </si>
  <si>
    <t>Indicadores de saúde: Prevalência e Incidência, Conceitos Básicos, Coeficientes e Índices, Transição Demográfica e Curvas de Nelson Moraes, Perfil de Morbimortalidade</t>
  </si>
  <si>
    <t>Síndrome nefrótica e nefrítica na pediatria</t>
  </si>
  <si>
    <t>Doenças exantemáticas: Sarampo, Rubéola, Exantema Súbito, Eritema Infeccioso, Escarlatina, Varicela, Doença Mão-Pé-Boca, Doença de Kawasaki, Mononucleose</t>
  </si>
  <si>
    <t>Infecções das Vias Aéreas Superiores: Resfriado Comum, Síndrome Gripal e COVID-19, Sinusite Bacteriana, OMA, Faringoamigdalite Estreptocócica, Faringite, Crupe</t>
  </si>
  <si>
    <t>Infecção do Trato Urinário</t>
  </si>
  <si>
    <t>Suporte Avançado de Vida em Pediatria (PALS): 
Suporte Básico de Vida, Ritmos Não-Chocáveis, Ritmos Chocáveis, Taquicardias e Bradicardias</t>
  </si>
  <si>
    <t>Puericultura: Avaliação Antropométrica, Classificação nas Curvas de Referência, Reflexos Primitivos, Marcos do Desenvolvimento Neuropsicomotor, Alimentação</t>
  </si>
  <si>
    <t>Transtornos do neurodesenvolvimento: TDAH, Transtornos do Espectro Autista (TEA), Transtornos de Aprendizagem</t>
  </si>
  <si>
    <t>Distúrbios puberais: Puberdade precoce e Puberdade atrasada</t>
  </si>
  <si>
    <t>Imunização: Tipos de Vacinas, Contraindicações, Eventos Adversos, Calendário de Vacinação, Atualização Vacinal, Situações Especiais, Imunização Passiva, Profilaxia do Tétano, Profilaxia da Raiva</t>
  </si>
  <si>
    <t>Hebiatria e Puberdade: Consulta e Ética, Puberdade, Estágios de Tanner, Variantes da Normalidade</t>
  </si>
  <si>
    <t>Síndromes genéticas na infância</t>
  </si>
  <si>
    <t>Deficiência de Vitaminas e Raquitismo</t>
  </si>
  <si>
    <t>Anemia fisiológica e ferropriva</t>
  </si>
  <si>
    <t>Segurança na infância: Epidemiologia e Prevenção, Obstrução de Via Aérea por Corpo Estranho, Ingestão de Corpo Estranho, TCE na Infância, Síndrome da Morte Súbita do Lactente</t>
  </si>
  <si>
    <t>Reanimação: Preparação, Passos Iniciais, Ventilação com Pressão Positiva, Intubação Orotraqueal, Massagem Cardíaca, Medicações em Sala de Parto, RN com Líquido Meconial, Boletim de Apgar, Pré-termo &lt; 34 Semanas</t>
  </si>
  <si>
    <t>Icterícia neonatal: Icterícia Fisiológica, Doenças Hemolíticas, Conduta, Fototerapia e Exsanguineotransfusão, Encefalopatia Bilirrubínica, Atresia de Vias Biliares</t>
  </si>
  <si>
    <t>Infecções Congênitas: Toxoplasmose Congênita, Rubéola Congênita, Citomegalovírus, Varicela Congênita e Neonatal, Sífilis Congênita</t>
  </si>
  <si>
    <t>Doenças perinatais e da prematuridade: Hipoglicemia Neonatal, Doença Hemorrágica do RN, Displasia do Desenvolvimento do Quadril, Enterocolite Necrosante, Asfixia Perinatal</t>
  </si>
  <si>
    <t>Testes de Triagem Neonatal: Teste do Pezinho, Teste do Reflexo Vermelho, Triagem Auditiva Neonatal, Teste do Coraçãozinho</t>
  </si>
  <si>
    <t>Desconforto Respiratório: Síndrome do Desconforto Respiratório, Taquipneia Transitória, Síndrome de Aspiração Meconial, Pneumonia Neonatal, Hipertensão Pulmonar Persistente Neonatal, Displasia Broncopulmonar, Diagnóstico Diferencial</t>
  </si>
  <si>
    <t>Prevenção da Transmissão Vertical: HIV: Acompanhamento da Criança Exposta, Hepatite B e C</t>
  </si>
  <si>
    <t>Lactente Sibilante e Asma</t>
  </si>
  <si>
    <t>Tuberculose na infância: Investigação de Contatos e ILTB, Quimioprofilaxia Primária e BCG</t>
  </si>
  <si>
    <t>Atopias: Dermatite Atópica, Rinite Alérgica</t>
  </si>
  <si>
    <t>Oncologia: Leucemias e Linfomas, Tumores Sólidos, Emergências Oncológicas</t>
  </si>
  <si>
    <t>Doença do Refluxo Gastroesofágico (DRGE)</t>
  </si>
  <si>
    <t>Alergia à Proteína do Leite de Vaca</t>
  </si>
  <si>
    <t>Doença celíaca</t>
  </si>
  <si>
    <t>Parto: A Pelve, O Motor, Estática Fetal, Mecanismo do Parto, Fases Clínicas, Assistência ao Parto Normal, Episiotomia, Partograma, Parto Instrumentalizado, Parto Pélvico, Distócia de Ombros, Indução do Parto, Classificação de Robson</t>
  </si>
  <si>
    <t>Assistência Pré-Natal:Consultas, Exames Complementares, Ganho de Peso e Suplementação, Vacinas, Defeitos do Tubo Neural</t>
  </si>
  <si>
    <t>Doenças Hipertensivas: HAS Crônica e Pré-Eclâmpsia Superajuntada, Hipertensão Gestacional e Pré-Eclâmpsia, Magnesioterapia, Síndrome HELLP, Eclâmpsia</t>
  </si>
  <si>
    <t>Rotura Prematura de Membranas e Prematuridade: RPMO, Corioamnionite, Insuficiência Istmo-Cervical, Trabalho de Parto Prematuro, Streptococcus do Grupo B, Prevenção da Prematuridade</t>
  </si>
  <si>
    <t>Hemorragias da 1ª metade: Gravidez Ectópica, Abortamento de Colo Fechado, Abortamento de Colo Aberto, Doença Trofoblástica Gestacional, Particularidades da DTG</t>
  </si>
  <si>
    <t>Puerpério: Anticoncepção no Puerpério, Blues Puerperal, Mastite, Hemorragias Pós-Parto: Causas, Hemorragias Pós-Parto: Tratamento, Complicações Infecciosas, Puerpério Fisiológico, Saúde Mental</t>
  </si>
  <si>
    <t>Diagnóstico de gestação e fisiologia da gestação normal: 
Sinais de Presunção, Probabilidade e Certeza, Diagnóstico Laboratorial e Ultrassonográfico, Regra de Naegele e DPP, Lipídios, Glicose e Rim, Hematológicas, Cardiovasculares, Ventilatórias, Esqueléticas e Gastrointestinais</t>
  </si>
  <si>
    <t>Vitalidade Fetal, Sofrimento Agudo e Crônico: Vitalidade Fetal, Cardiotocografia (Parte 1), Cardiotocografia (Parte 2), Perfil Biofísico Fetal, Alterações do Líquido Amniótico, Dopplervelocimetria (Parte 1), Dopplervelocimetria (Parte 2), Restrição de Crescimento Fetal</t>
  </si>
  <si>
    <t>Hemorragias da 2ª metade: Placenta Prévia, Acretismo Placentário, DPP x Placenta Prévia, Rotura Uterina, Rotura de Vasa Prévia e do Seio Marginal</t>
  </si>
  <si>
    <t>Infecções na gestação: HIV, Sífilis, Toxoplasmose</t>
  </si>
  <si>
    <t>Diabetes gestacional e DM na gestação</t>
  </si>
  <si>
    <t>Doenças Intercorrentes na Gestação: Cardiopatias, Infecções do Trato Urinário, Infecções, hemolítica perinatal</t>
  </si>
  <si>
    <t>Gestação Gemelar: Gestação Gemelar, Síndrome de Transfusão Feto-Fetal, Outras Complicações</t>
  </si>
  <si>
    <t>Aconselhamento Genético: Rastreamento, Translucência Nucal, Diagnóstico, Cromossomopatias</t>
  </si>
  <si>
    <t>Vulvovaginites e cervicites: Vaginose Bacteriana, Candidíase, Tricomoníase, Outras Etiologias, Cervicites</t>
  </si>
  <si>
    <t>Papilomavírus Humano (HPV) e Câncer de colo de útero: HPV, Vacina, Papanicolau, Alterações de CCO, Câncer de Colo, Lesões Pré-Malignas e Malignas de Vulva e Vagina, Atualizações do Rastreamento</t>
  </si>
  <si>
    <t>Imagenologia e Neoplasia de Mama: BI-RADS, Câncer de Mama, Tratamento do Câncer de Mama</t>
  </si>
  <si>
    <t>Doença Inflamatória Pélvica</t>
  </si>
  <si>
    <t>Infecções Sexualmente Transmissíveis: Sífilis Genital, Herpes Genital, Outras ISTs</t>
  </si>
  <si>
    <t>Sangramento Uterino Anormal: PALM-COEIN, Pólipo, Adenomiose, Leiomioma</t>
  </si>
  <si>
    <t>Patologias do Ovário: Doenças Benignas, Doenças Malignas, Carcinoma Seroso</t>
  </si>
  <si>
    <t>Alterações Benigna de Mama: AFBM, Mastalgia, Mastite e Lesões Descamativas, Fluxo Papilar, Nódulos Palpáveis</t>
  </si>
  <si>
    <t>Planejamento familiar: Métodos Contraceptivos, Métodos Hormonais Combinados, Métodos de Progesterona, DIU, LARC, Trombose, Contracepção Cirúrgica</t>
  </si>
  <si>
    <t>Síndrome dos Ovários Policísticos</t>
  </si>
  <si>
    <t>Incontinência Urinária: Bexiga Hiperativa, Incontinência Urinária de Esforço</t>
  </si>
  <si>
    <t>Câncer de Endométrio: Hiperplasia de Endométrio, Câncer de Endométrio</t>
  </si>
  <si>
    <t>Síndrome pré-menstrual e dismenorreia</t>
  </si>
  <si>
    <t>Prolapso de Órgãos Pélvicos</t>
  </si>
  <si>
    <t>Sexualidade Humana, Estados Intersexuais</t>
  </si>
  <si>
    <t>Obstrução intestinal: Aderências, Hérnias, Câncer Colorretal (CCR), Volvo, Pseudo Obstruções, Íleo Biliar</t>
  </si>
  <si>
    <t>Abdome agudo hemorrágico</t>
  </si>
  <si>
    <t>Pré-operatório: Exames Gerais, Classificação de ASA, Avaliação do Risco Cardiovascular, Acerto, Grau de Contaminação Cirúrgica, Manejo Medicamentoso e Cirurgia Segura</t>
  </si>
  <si>
    <t>Hemorragia digestiva alta: Classificação de Forrest, Úlcera Péptica, Etiologia Varicosa, Manejo na Refratariedade, Síndrome de Mallory Weiss, Hemobilia, Lesão de Dieulafoy</t>
  </si>
  <si>
    <t>Hemorragia digestiva baixa: Causas mais e menos comuns, De Origem Obscura, Divertículo de Meckel</t>
  </si>
  <si>
    <t>Resposta metabólica e nutrição: Resposta Hormonal, Resposta Imunológica, Nutrição em Cirurgia</t>
  </si>
  <si>
    <t>Bases da cirurgia e procedimentos: Profilaxia Antimicrobiana Cirúrgica, Profilaxia para Tromboembolismo Venoso (TEV/TVP), Cateter Venoso Central (CVC)</t>
  </si>
  <si>
    <t>Complicações cirúrgicas e pós-operatório: Ferida Operatória, Febre Pós-Operatória, Complicações Gerais Pós-Operatórias</t>
  </si>
  <si>
    <t>Principios de anestesia: Tipos de Anestesias, Drogas Anestésicas, Anestésicos Locais</t>
  </si>
  <si>
    <t>ATLS: Atendimento Inicial ao Politraumatizado
Introdução e XABCDE</t>
  </si>
  <si>
    <t>Trauma torácico: Pneumotórax, Hemotórax, Contusão Pulmonar e Tórax Instável, Ruptura Traumática de Aorta e Tamponamento Cardíaco</t>
  </si>
  <si>
    <t>Trauma abdominal: Vísceras Ocas e Parenquimatosas, Trauma Contuso, Trauma de Pelve, Reto e Ânus, Cirurgia para Controle de Danos, Síndrome Compartimental Abdominal, Trauma Penetrante e Transição Tóraco-Abdominal</t>
  </si>
  <si>
    <t>Traumatismo Cranioencefálico: Classificação e Conduta, Neurointensivismo e HIC, Hematoma Subdural, Hematoma e Herniação, Outras Lesões Cerebrais</t>
  </si>
  <si>
    <t>Queimaduras: Introdução, Classificação, Reposição Volêmica e Regra de Parkland, Transferência e Cuidados Locais, Complicações, Choque Elétrico</t>
  </si>
  <si>
    <t>Via aérea: Intubação Orotraqueal, Via Aérea Difícil e Sequência Rápida</t>
  </si>
  <si>
    <t>Choque: Choque Hemorrágico, Transfusão Sanguínea, Choque Não Hemorrágico</t>
  </si>
  <si>
    <t>Trauma geniturinário: Trauma Renal, Trauma de Bexiga, Trauma Uretral</t>
  </si>
  <si>
    <t>Trauma em Populações Especiais</t>
  </si>
  <si>
    <t>Cirurgia de Controle de Danos (Damage Control)</t>
  </si>
  <si>
    <t>Acalasia e Megaesôfago e Diverticulo de Zenker</t>
  </si>
  <si>
    <t>Tumores de cólon e reto: Tumores, Síndrome de Câncer Colorretal Hereditário Não-Polipóide, Síndrome de Lynch (HNPCC)</t>
  </si>
  <si>
    <t>Câncer gástrico</t>
  </si>
  <si>
    <t>Doenças de Via Biliar: Colecistolitíase, Colecistite Aguda, Coledocolitíase e Colangite, Complicações pós CPRE, Fístulas Digestivas e Lesões de Vias Biliares, Síndrome de Mirizzi, Pólipos de Via Biliar, Câncer de Vesícula Biliar</t>
  </si>
  <si>
    <t>Cirurgia bariátrica e metabólica: Indicações de Tratamento Cirúrgico, Mecanismos de Perda Ponderal, Bypass Gástrico em Y de Roux, Gastrectomia Vertical</t>
  </si>
  <si>
    <t>Doenças Orificiais: Doença Hemorroidária, Fissura Anal Crônica, Abscesso Anorretal, Fístula Anorretal</t>
  </si>
  <si>
    <t>Lesões hepáticas benignas: Adenoma Hepático, Hiperplasia Nodular Focal, Hemangioma e Abscesso Hepático</t>
  </si>
  <si>
    <t>Pólipos e Poliposes: Polipose Adenomatosa Familiar (PAF), Pólipos Intestinais e Poliposes, Peutz Jeghers</t>
  </si>
  <si>
    <t>Tratamento cirúrgico da Doença do Refluxo Gastroesofágico (DRGE)</t>
  </si>
  <si>
    <t>Urgências Cirúrgicas da Infância: Hipertrófica de Piloro, Invaginação Intestinal (Intussuscepção) e Divertículo de Meckel, Enterocolite Necrosante</t>
  </si>
  <si>
    <t>Doenças neonatais de tratamento cirúrgico: Gastrosquise e Onfalocele, Atresia de Esôfago, Obstrução Duodenal e Atresia Intestinal, Doença de Hirschprung, Malformações Anorretais, Hérnia Diafragmática Congênita e Outras Malformações Pulmonares, Atresia de Vias Biliares</t>
  </si>
  <si>
    <t>Cirurgia ambulatorial: Hérnias Inguinal e Umbilical, Fimose e Criptorquidia</t>
  </si>
  <si>
    <t>Tumores de infância: Neuroblastoma e Nefroblastoma, Hepatoblastoma e Teratoma Sacrococcígeo</t>
  </si>
  <si>
    <t>Feridas e Retalhos: Enxertos e Retalhos, Fases da Cicatrização, Cicatrização Anormal, Tratamento de Feridas, Úlceras de Pressão</t>
  </si>
  <si>
    <t>Cirurgia do Contorno Corporal e Estética:
Mamoplastia, Abdominoplastia</t>
  </si>
  <si>
    <t xml:space="preserve">Nódulos da Tireoide, Câncer de Tireoide, Tireoidectomia, Doenças da Paratireoide </t>
  </si>
  <si>
    <t>Tumores das Glândulas Salivares</t>
  </si>
  <si>
    <t>Carcinoma Epidermóide em Cabeça e Pescoço</t>
  </si>
  <si>
    <t>Urologia Oncológica: Câncer de Rim, Câncer de Bexiga, Câncer de Próstata, Câncer de Pênis, Câncer de Testículo</t>
  </si>
  <si>
    <t>Urgências urológicas: Priapismo e Fratura de Pênis, Retenção Urinária, Escroto Agudo</t>
  </si>
  <si>
    <t>Urologia Ambulatorial: Doença Renal Cística, Disfunção Erétil, Doenças Testiculares Benignas</t>
  </si>
  <si>
    <t>Doenças Pleurais: Pneumotórax Espontâneo, Análise de Líquido, Infecção Pleural, Derrame Pleural Maligno</t>
  </si>
  <si>
    <t>Nódulos Pulmonares e Câncer de pulmão</t>
  </si>
  <si>
    <t>Dor Aguda Vascular em Membros Inferiores</t>
  </si>
  <si>
    <t>Úlceras crônicas de Membros Inferiores</t>
  </si>
  <si>
    <t>Obstrução Arterial: Doença arterial obstrutiva crônica</t>
  </si>
  <si>
    <t>Lesões ligamentares e da cartilagem</t>
  </si>
  <si>
    <t>Ortopedia Pediátrica: Displasia do Desenvolvimento do Quadril, Legg-Calvé-Perthes, Epifisiólise e Sinovite Transitória</t>
  </si>
  <si>
    <t>Hérnia de Disco, Escoliose</t>
  </si>
  <si>
    <t>Tumores Ósseos: Osteossarcoma e Condrossarcoma, Sarcoma de Ewing e Mieloma Múltiplo</t>
  </si>
  <si>
    <t>Semiologia: Acuidade Visual e Estrabismo e Nistagmo</t>
  </si>
  <si>
    <t>Conjutivites</t>
  </si>
  <si>
    <t>Oftalmo ambulatorial: Globo Ocular, Pálpebras, Órbita e Sistema Lacrimal</t>
  </si>
  <si>
    <t>Otites e mastoidites</t>
  </si>
  <si>
    <t>Síndrome Coronariana Aguda</t>
  </si>
  <si>
    <t>Hipertensão Arterial Sistêmica: Primária e Secundária</t>
  </si>
  <si>
    <t>Taquiarritmias: FA, supraventriculares e ventriculares</t>
  </si>
  <si>
    <t>Bradiarritmias: Doença do nó sinusal, bloqueio atrioventricular e síncope</t>
  </si>
  <si>
    <t>Parada Cardiorrespiratória</t>
  </si>
  <si>
    <t>Cardiomiopatias: Miocardite, hipertrofica e restritiva</t>
  </si>
  <si>
    <t>Cardiomiopatias: Doença de Chagas, Taktsubo e Periparto</t>
  </si>
  <si>
    <t>Doenças do Pericárdio: Pericardite aguda, Tamponamento, Derrame pericárdico e Pericardite constritiva</t>
  </si>
  <si>
    <t>Doença Inflamatória Intestinal</t>
  </si>
  <si>
    <t>Distúrbios Benignos de Esôfago: Esofagite eosinofilica, disfagia e distúrbios motores</t>
  </si>
  <si>
    <t>Doença do Refluxo Gastroesofágico</t>
  </si>
  <si>
    <t>Gastrites: Dispepsia funcional  infecção por H. Pylori e gastrite atrófica autoimune</t>
  </si>
  <si>
    <t>Introdução</t>
  </si>
  <si>
    <t>Diarreias Agudas</t>
  </si>
  <si>
    <t>Diarreias Crônicas: Doença celíaca, tumor carcinoide, Sindrome de Zollinger-Ellsino, parasitoses</t>
  </si>
  <si>
    <t>Transtornos do Movimento: Parkinson, tremor e sindromes hipercinéticas</t>
  </si>
  <si>
    <t>Acidente Vascular Cerebral Isquêmico</t>
  </si>
  <si>
    <t>Epilepsia: Eplepsia na infância, mal epilético e abordagem da mulher</t>
  </si>
  <si>
    <t>Acidente Vascular Cerebral Hemorrágico</t>
  </si>
  <si>
    <t>Esclerose Lateral Amiotrófica</t>
  </si>
  <si>
    <t>Síndromes cognitivas: Delirium, rapidamente progressica e reversíveis, neurodegenerativas</t>
  </si>
  <si>
    <t>Coma e morte encefálica</t>
  </si>
  <si>
    <t>Hipertensão Intracraniana</t>
  </si>
  <si>
    <t>Tumores do Sistema Nervoso Central</t>
  </si>
  <si>
    <t>Hemostasia e Trombose: TVP, antiocoagulantes, PTI, PTT, CIVD, SHU, hemofilias, Doença de von Willebrand e trombofilias</t>
  </si>
  <si>
    <t>Anemias hipoproliferativas: anemia ferropriva, megaloblastica e por doença crônica.</t>
  </si>
  <si>
    <t>Anemias hiperproliferativas: anemia falciforme, talassemia anemia hemoliticas autoimunes, G6PD, HPN e esferocitose</t>
  </si>
  <si>
    <t>Introdução e Hemograma</t>
  </si>
  <si>
    <t>Complicações oncohematologicas e Transplante de células tronco hematopoiéticas</t>
  </si>
  <si>
    <t>Distúrbio do Sódio</t>
  </si>
  <si>
    <t>Síndrome nefrítica: Nefropatia por IgA, GNPE e outras</t>
  </si>
  <si>
    <t>Injúria Renal Aguda: Pré renal, NTA, rabdomiólise, nefrotoxicidade por drogas e pós renal</t>
  </si>
  <si>
    <t>Síndrome nefrótica: Doença de lesão Mínima, GESF e Nefropatia Membranosa</t>
  </si>
  <si>
    <t>Distúrbio do Equilíbrio Ácido-Básico</t>
  </si>
  <si>
    <t>Doença Renal Crônica</t>
  </si>
  <si>
    <t>Distúrbio do Magnésio</t>
  </si>
  <si>
    <t>Distúrbio do Cálcio</t>
  </si>
  <si>
    <t>Terapia Renal Substitutiva</t>
  </si>
  <si>
    <t>Doenças Túbulo-Intersticiais</t>
  </si>
  <si>
    <t>Doença Renovascular: Hipertensão renovascular e SHU</t>
  </si>
  <si>
    <t>Rim em doenças sistêmicas</t>
  </si>
  <si>
    <t>Farmacodermias: Enxantema, Urticária, Eritema Polimorfo e Síndrome de Stevens-Johnson</t>
  </si>
  <si>
    <t>Oncodermatologia: Cânceres não melanomas e melanomas</t>
  </si>
  <si>
    <t>Hanseníase</t>
  </si>
  <si>
    <t>Eczemas: Dermatite Atópica, Dermatite de contato e Dermatite Seborreica</t>
  </si>
  <si>
    <t>Psoríase e Líquen Plano</t>
  </si>
  <si>
    <t>Lúpus Eritematoso Sistêmico</t>
  </si>
  <si>
    <t>Artrite Reumatoide</t>
  </si>
  <si>
    <t>Vasculites: Vasculites Sistêmicas Primárias: Classificação e Doença de Buerger, Síndrome de Behçet, Vasculite Crioglobulinêmica, Poliarterite Nodosa (PAN), Granulomatose com Poliangiíte (GPA); Granulomatose com Poliangiíte Eosinofílica (GEPA) e Poliangiíte Microscópica (PAM, Vasculite por IgA e Doença de Kawasaki, Vasculites de Grandes Vasos: Arterite de Takayasu e Arterite de Células Gigantes</t>
  </si>
  <si>
    <t>Outras colagenoses: Fenômeno de Raynaud e Doença Mista do Tecido Conjuntivo; Esclerose Sistêmica; Síndrome de Sjogren; Dermatomiosite e Polimiosite</t>
  </si>
  <si>
    <t>Espondiloartrites: Espondiloartrites, Espondilite Anquilosante, Artrite Psoriasica, Artrite Reativa e Enteropática</t>
  </si>
  <si>
    <t>Síndrome do Anticorpo Antifosfolípide</t>
  </si>
  <si>
    <t>Miscelânea: Amiloidose, Doença de Still e Febre Familiar do Mediterrâneo</t>
  </si>
  <si>
    <t>Diabetes Mellitus: Diagnóstico, Fisiopatologia, Classificação</t>
  </si>
  <si>
    <t>Diabetes Mellitus: Complicações Crônicas</t>
  </si>
  <si>
    <t>Obesidade e Síndrome Metabólica</t>
  </si>
  <si>
    <t>Bócios, Nódulos e Câncer</t>
  </si>
  <si>
    <t>Diabetes Mellitus: Complicações Agudas</t>
  </si>
  <si>
    <t>Diabetes Mellitus: Antidiabéticos</t>
  </si>
  <si>
    <t>Diabetes Mellitus: Insulinoterapia</t>
  </si>
  <si>
    <t>Síndrome de Fragilidade</t>
  </si>
  <si>
    <t>Vírus da Imunodeficiência Humana (HIV)</t>
  </si>
  <si>
    <t>Arboviroses: Chikungunya, Zika, Dengue</t>
  </si>
  <si>
    <t>Infecções Sexualmente Transmissíveis</t>
  </si>
  <si>
    <t>Vírus Respiratórios: Covid-19, influenza e outros</t>
  </si>
  <si>
    <t>Hepatoesplenomegalias Infecciosas Crônicas, Leishmaniose e Esquistossomose</t>
  </si>
  <si>
    <t>Doenças por Carrapato: Febre maculosa e Lyme</t>
  </si>
  <si>
    <t>Profilaxia material biológico: Acidente com Material Biológico (HIV/HBV), Tétano e Raiva</t>
  </si>
  <si>
    <t>Complicações: Neutropenia febril, Síndrome da Veia cava superior, hipercalcemia da malignidade</t>
  </si>
  <si>
    <t>Aspectos gerais: Marcadores oncológicos, sítios de metástase, estadamento e principios gerais</t>
  </si>
  <si>
    <t>Doença Pulmonar Obstrutiva Crônica: Estável e Exacerbações</t>
  </si>
  <si>
    <t>Ventilação Mecânica</t>
  </si>
  <si>
    <t>Tromboembolismo Pulmonar</t>
  </si>
  <si>
    <t>Pneumonia nosocomial</t>
  </si>
  <si>
    <t>Hipertensão Pulmonar</t>
  </si>
  <si>
    <t>Pneumonia Adquirida na Comunidade</t>
  </si>
  <si>
    <t>Doença Pulmonar Obstrutiva Crônica Exacerbada</t>
  </si>
  <si>
    <t>Doenças Intersticiais e Ocupacionais</t>
  </si>
  <si>
    <t>Transtornos Ansiosos: Depressão unipolar e bipolar</t>
  </si>
  <si>
    <t>Farmacopsiquiatria: Antidepressivos, ansiolíticos e antipsicóticos</t>
  </si>
  <si>
    <t>Transtorno por Uso de Substâncias Psicoativas</t>
  </si>
  <si>
    <t>Psicose e Esquizofrenia</t>
  </si>
  <si>
    <t>Transtorno de Personalidade: Transtornos de Personalidade Anancástico, Transtornos de Borderline</t>
  </si>
  <si>
    <t>Transtornos Alimentares e sexuais</t>
  </si>
  <si>
    <t>Saúde mental criança: Depressão e Ansiedade na Infância, Transtorno Opositor Desafiador (TOD), Transtorno do Deficit de Atenção e Hiperatividade (TDAH), Transtorno do Espectro Autista (TEA), Dificuldade de Aprendizagem, Bullying, Auto Lesão Não-Suicida na Infância, Disforia de Gênero</t>
  </si>
  <si>
    <t>Distúrbios do sono: Sono Fisiológico, Insônia, Síndrome da Apneia Obstrutiva do Sono (SAHOS / SAOS), Sono na infância e Parassonias</t>
  </si>
  <si>
    <t>Urgências Clínicos-Psiquiátricas: Crises de ansiedade, agitação psicomotora e suicidio</t>
  </si>
  <si>
    <t>Insuficiência respiratória e Síndrome do Desconforto Respiratório Agudo</t>
  </si>
  <si>
    <t>Doenças autoimunes: Sindrome de Guillain-Barré, Miastenia Gravis e Esclerose Múltipla</t>
  </si>
  <si>
    <t>Intoxicações exógenas e ingestão cáustica</t>
  </si>
  <si>
    <t>Raro na prova</t>
  </si>
  <si>
    <t>Tratamento Medicamentoso</t>
  </si>
  <si>
    <t>Tratamento Farmacológico e Diagnóstico, Estratificação e Metas</t>
  </si>
  <si>
    <t>Todo conteúdo relevante</t>
  </si>
  <si>
    <t>Demência por corpúsculos de Lewy e Doença de Parkinson</t>
  </si>
  <si>
    <t>Sódio</t>
  </si>
  <si>
    <t>IRA Pré-renal e IRA Embólica/Trombótica</t>
  </si>
  <si>
    <t>Potássio</t>
  </si>
  <si>
    <t>Esclerose Sistêmica e Dermatomiosite e Polimiosite</t>
  </si>
  <si>
    <t>Diagnóstico e Antirretrovirais</t>
  </si>
  <si>
    <t>Sifilis Latente e VDRL e Sifilis Primária e Úlceras Genitais</t>
  </si>
  <si>
    <t>Perioperatório e Avaliação pré-operatória</t>
  </si>
  <si>
    <t>Hernia inguinal e Cirurgia de hernia inguinal</t>
  </si>
  <si>
    <t>Antibioticoprofilaxia cirúrgica e Videolaparoscopia</t>
  </si>
  <si>
    <t>Hemotorax e Pneumotórax</t>
  </si>
  <si>
    <t>Choque (CIR) e Ressuscitação hemostática</t>
  </si>
  <si>
    <t>Esôfago - outras e Disfagia (CIR)</t>
  </si>
  <si>
    <t>Colelitiase e Pólipo de vesícula biliar</t>
  </si>
  <si>
    <t>bariátrica</t>
  </si>
  <si>
    <t>Cicatrização fisiológica e Cicatriz hipertrófica</t>
  </si>
  <si>
    <t>Câncer de próstata e Câncer de testículo</t>
  </si>
  <si>
    <t>Doenças do intestino delgado e Neoplasia colorretal obstruída</t>
  </si>
  <si>
    <t>Doença ulcerosa péptica sangrante e Varizes de esofago</t>
  </si>
  <si>
    <t>Distocias de parto e Monitorização fetal intraparto</t>
  </si>
  <si>
    <t>PE grave e PE sem sinais de gravidade</t>
  </si>
  <si>
    <t>Distúrbios psiquiátricos pós-parto e Infecção puerperal</t>
  </si>
  <si>
    <t>Endocrinologia e imunologia da gestação e Placenta</t>
  </si>
  <si>
    <t>Sofrimento fetal crônico e vitalidade fetal</t>
  </si>
  <si>
    <t>Sangramento após menopausa e Rotina do climatério</t>
  </si>
  <si>
    <t>Exame colposcópico e Alterações colpocitológicas</t>
  </si>
  <si>
    <t>Causas de amenorreia primária e Investigação de amenorreia primária</t>
  </si>
  <si>
    <t>Leiomioma e SUA - Outras</t>
  </si>
  <si>
    <t>Anticoncepção - fundamentos e Anticoncepção - situações especiais</t>
  </si>
  <si>
    <t>Pneumonia Pediátrica e PAC Pediátrica</t>
  </si>
  <si>
    <t>Meningite Bacteriana e Meningite</t>
  </si>
  <si>
    <t>Faringoamigdalite e Otite</t>
  </si>
  <si>
    <t>Emerg.Ped</t>
  </si>
  <si>
    <t>TCE Ped e Prevenção de Acidentes</t>
  </si>
  <si>
    <t>Doenças Neonatais e Classificação do RN</t>
  </si>
  <si>
    <t>História do SUS e Princípios do SUS</t>
  </si>
  <si>
    <t>MBE e Testes Estatísticos e Significância Estatística</t>
  </si>
  <si>
    <t>Valores Preditivos e Razão de Verossimilhança</t>
  </si>
  <si>
    <t>Níveis de Evidência e Ensaio Clínico</t>
  </si>
  <si>
    <t>Prevenção Quaternária e Prevenção primária, secundária e terciária</t>
  </si>
  <si>
    <t>Níveis de Recomendação USPTSF e MS e Vigilância Epidemiológica</t>
  </si>
  <si>
    <t>Mortalidade específica por idade e Mortalidade proporcional por idade</t>
  </si>
  <si>
    <t>Atributos da APS e Estratégia da Saúde da Família</t>
  </si>
  <si>
    <t>MCCP e PTS e Comunicação Clínica</t>
  </si>
  <si>
    <t>Classificação e Diagnóstico Diabetes Mellitus</t>
  </si>
  <si>
    <t>Complicações Crônicas Diabetes Mellitus</t>
  </si>
  <si>
    <t>Metas Terapêuticas Diabetes Mellitus e Antidiabéticos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</si>
</sst>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&quot;/&quot;mm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Roboto"/>
    </font>
    <font>
      <b/>
      <sz val="9"/>
      <color rgb="FFFFFFFF"/>
      <name val="Roboto"/>
    </font>
    <font>
      <sz val="26"/>
      <color rgb="FFFFFFFF"/>
      <name val="Roboto"/>
    </font>
    <font>
      <sz val="10"/>
      <name val="Arial"/>
    </font>
    <font>
      <sz val="10"/>
      <color rgb="FFFFFFFF"/>
      <name val="Roboto"/>
    </font>
    <font>
      <b/>
      <sz val="10"/>
      <color rgb="FFFFFFFF"/>
      <name val="Roboto"/>
    </font>
    <font>
      <b/>
      <sz val="10"/>
      <color theme="1"/>
      <name val="Roboto"/>
    </font>
    <font>
      <sz val="10"/>
      <color rgb="FF000000"/>
      <name val="Roboto"/>
    </font>
    <font>
      <sz val="10"/>
      <color theme="1"/>
      <name val="Arial"/>
      <scheme val="minor"/>
    </font>
    <font>
      <sz val="8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0000"/>
        <bgColor rgb="FFCC0000"/>
      </patternFill>
    </fill>
    <fill>
      <patternFill patternType="solid">
        <fgColor rgb="FF741B47"/>
        <bgColor rgb="FF741B47"/>
      </patternFill>
    </fill>
    <fill>
      <patternFill patternType="solid">
        <fgColor rgb="FF674EA7"/>
        <bgColor rgb="FF674EA7"/>
      </patternFill>
    </fill>
    <fill>
      <patternFill patternType="solid">
        <fgColor rgb="FF32B375"/>
        <bgColor rgb="FF32B375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indexed="64"/>
      </patternFill>
    </fill>
    <fill>
      <patternFill patternType="solid">
        <fgColor rgb="FF5AFF5A"/>
        <bgColor indexed="64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FFFFFF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hair">
        <color rgb="FFFFFFFF"/>
      </left>
      <right/>
      <top/>
      <bottom style="hair">
        <color rgb="FFFFFFFF"/>
      </bottom>
      <diagonal/>
    </border>
    <border>
      <left/>
      <right style="hair">
        <color rgb="FFFFFFFF"/>
      </right>
      <top style="hair">
        <color rgb="FFFFFFFF"/>
      </top>
      <bottom/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/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  <diagonal/>
    </border>
    <border>
      <left style="thin">
        <color rgb="FFFFFFFF"/>
      </left>
      <right style="thin">
        <color rgb="FFFFFFFF"/>
      </right>
      <top style="hair">
        <color rgb="FFFFFFFF"/>
      </top>
      <bottom style="hair">
        <color rgb="FFFFFFFF"/>
      </bottom>
      <diagonal/>
    </border>
    <border>
      <left style="thin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hair">
        <color rgb="FFFFFFFF"/>
      </right>
      <top/>
      <bottom/>
      <diagonal/>
    </border>
    <border>
      <left/>
      <right style="hair">
        <color rgb="FFFFFFFF"/>
      </right>
      <top/>
      <bottom style="hair">
        <color rgb="FFFFFFFF"/>
      </bottom>
      <diagonal/>
    </border>
    <border>
      <left style="thin">
        <color rgb="FFFFFFFF"/>
      </left>
      <right/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/>
      <right style="thin">
        <color rgb="FFFFFFFF"/>
      </right>
      <top style="hair">
        <color rgb="FFFFFFFF"/>
      </top>
      <bottom style="hair">
        <color rgb="FFFFFFFF"/>
      </bottom>
      <diagonal/>
    </border>
    <border>
      <left/>
      <right style="hair">
        <color rgb="FFFFFFFF"/>
      </right>
      <top style="hair">
        <color rgb="FFFFFFFF"/>
      </top>
      <bottom/>
      <diagonal/>
    </border>
    <border>
      <left/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hair">
        <color rgb="FFFFFFFF"/>
      </left>
      <right style="hair">
        <color rgb="FFFFFFFF"/>
      </right>
      <top/>
      <bottom/>
      <diagonal/>
    </border>
    <border>
      <left style="hair">
        <color rgb="FFFFFFFF"/>
      </left>
      <right/>
      <top style="hair">
        <color rgb="FFFFFFFF"/>
      </top>
      <bottom/>
      <diagonal/>
    </border>
    <border>
      <left style="thin">
        <color rgb="FFFFFFFF"/>
      </left>
      <right style="thin">
        <color rgb="FFFFFFFF"/>
      </right>
      <top style="hair">
        <color rgb="FFFFFFFF"/>
      </top>
      <bottom/>
      <diagonal/>
    </border>
    <border>
      <left style="thin">
        <color rgb="FFFFFFFF"/>
      </left>
      <right style="hair">
        <color rgb="FFFFFFFF"/>
      </right>
      <top style="hair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FFFFFF"/>
      </bottom>
      <diagonal/>
    </border>
    <border>
      <left style="hair">
        <color rgb="FFFFFFFF"/>
      </left>
      <right style="hair">
        <color rgb="FFFFFFFF"/>
      </right>
      <top/>
      <bottom/>
      <diagonal/>
    </border>
    <border>
      <left/>
      <right style="hair">
        <color rgb="FFFFFFFF"/>
      </right>
      <top/>
      <bottom style="hair">
        <color rgb="FFFFFFFF"/>
      </bottom>
      <diagonal/>
    </border>
    <border>
      <left/>
      <right style="hair">
        <color rgb="FFFFFFFF"/>
      </right>
      <top/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thin">
        <color rgb="FFFFFFFF"/>
      </top>
      <bottom style="hair">
        <color rgb="FFFFFFFF"/>
      </bottom>
      <diagonal/>
    </border>
    <border>
      <left style="hair">
        <color rgb="FFFFFFFF"/>
      </left>
      <right style="thin">
        <color rgb="FFFFFFFF"/>
      </right>
      <top style="thin">
        <color rgb="FFFFFFFF"/>
      </top>
      <bottom style="hair">
        <color rgb="FFFFFFFF"/>
      </bottom>
      <diagonal/>
    </border>
    <border>
      <left style="hair">
        <color rgb="FFFFFFFF"/>
      </left>
      <right style="thin">
        <color rgb="FFFFFFFF"/>
      </right>
      <top style="hair">
        <color rgb="FFFFFFFF"/>
      </top>
      <bottom style="thin">
        <color rgb="FFFFFFFF"/>
      </bottom>
      <diagonal/>
    </border>
    <border>
      <left/>
      <right style="hair">
        <color rgb="FFFFFFFF"/>
      </right>
      <top/>
      <bottom/>
      <diagonal/>
    </border>
    <border>
      <left/>
      <right/>
      <top/>
      <bottom style="hair">
        <color rgb="FFFFFFFF"/>
      </bottom>
      <diagonal/>
    </border>
    <border>
      <left/>
      <right/>
      <top/>
      <bottom/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/>
      <top style="hair">
        <color rgb="FFFFFFFF"/>
      </top>
      <bottom/>
      <diagonal/>
    </border>
  </borders>
  <cellStyleXfs count="2">
    <xf numFmtId="0" fontId="0" fillId="0" borderId="0"/>
    <xf numFmtId="0" fontId="1" fillId="0" borderId="42"/>
  </cellStyleXfs>
  <cellXfs count="2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horizontal="center" vertical="center" wrapText="1"/>
    </xf>
    <xf numFmtId="164" fontId="9" fillId="5" borderId="13" xfId="0" applyNumberFormat="1" applyFont="1" applyFill="1" applyBorder="1" applyAlignment="1">
      <alignment horizontal="center" vertical="center" wrapText="1"/>
    </xf>
    <xf numFmtId="165" fontId="2" fillId="5" borderId="14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9" fillId="5" borderId="12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horizontal="center" vertical="center" wrapText="1"/>
    </xf>
    <xf numFmtId="164" fontId="9" fillId="6" borderId="13" xfId="0" applyNumberFormat="1" applyFont="1" applyFill="1" applyBorder="1" applyAlignment="1">
      <alignment horizontal="center" vertical="center" wrapText="1"/>
    </xf>
    <xf numFmtId="165" fontId="2" fillId="6" borderId="14" xfId="0" applyNumberFormat="1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left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1" fontId="2" fillId="6" borderId="11" xfId="0" applyNumberFormat="1" applyFont="1" applyFill="1" applyBorder="1" applyAlignment="1">
      <alignment horizontal="center" vertical="center" wrapText="1"/>
    </xf>
    <xf numFmtId="165" fontId="2" fillId="6" borderId="14" xfId="0" applyNumberFormat="1" applyFont="1" applyFill="1" applyBorder="1" applyAlignment="1">
      <alignment vertical="center" wrapText="1"/>
    </xf>
    <xf numFmtId="165" fontId="2" fillId="5" borderId="14" xfId="0" applyNumberFormat="1" applyFont="1" applyFill="1" applyBorder="1" applyAlignment="1">
      <alignment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165" fontId="2" fillId="5" borderId="29" xfId="0" applyNumberFormat="1" applyFont="1" applyFill="1" applyBorder="1" applyAlignment="1">
      <alignment vertical="center" wrapText="1"/>
    </xf>
    <xf numFmtId="0" fontId="2" fillId="5" borderId="30" xfId="0" applyFont="1" applyFill="1" applyBorder="1" applyAlignment="1">
      <alignment vertical="center" wrapText="1"/>
    </xf>
    <xf numFmtId="0" fontId="9" fillId="5" borderId="28" xfId="0" applyFont="1" applyFill="1" applyBorder="1" applyAlignment="1">
      <alignment horizontal="left" vertical="center" wrapText="1"/>
    </xf>
    <xf numFmtId="0" fontId="2" fillId="7" borderId="1" xfId="0" applyFont="1" applyFill="1" applyBorder="1"/>
    <xf numFmtId="0" fontId="7" fillId="7" borderId="1" xfId="0" applyFont="1" applyFill="1" applyBorder="1" applyAlignment="1">
      <alignment horizontal="right"/>
    </xf>
    <xf numFmtId="1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2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4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164" fontId="9" fillId="5" borderId="11" xfId="0" applyNumberFormat="1" applyFont="1" applyFill="1" applyBorder="1" applyAlignment="1">
      <alignment horizontal="center" vertical="center" wrapText="1"/>
    </xf>
    <xf numFmtId="165" fontId="2" fillId="5" borderId="11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 wrapText="1"/>
    </xf>
    <xf numFmtId="0" fontId="8" fillId="5" borderId="11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164" fontId="9" fillId="6" borderId="11" xfId="0" applyNumberFormat="1" applyFont="1" applyFill="1" applyBorder="1" applyAlignment="1">
      <alignment horizontal="center" vertical="center" wrapText="1"/>
    </xf>
    <xf numFmtId="165" fontId="2" fillId="6" borderId="11" xfId="0" applyNumberFormat="1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165" fontId="2" fillId="5" borderId="11" xfId="0" applyNumberFormat="1" applyFont="1" applyFill="1" applyBorder="1" applyAlignment="1">
      <alignment horizontal="center" vertical="center" wrapText="1"/>
    </xf>
    <xf numFmtId="165" fontId="2" fillId="6" borderId="11" xfId="0" applyNumberFormat="1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wrapText="1"/>
    </xf>
    <xf numFmtId="2" fontId="7" fillId="7" borderId="1" xfId="0" applyNumberFormat="1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4" fillId="9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/>
    <xf numFmtId="0" fontId="7" fillId="9" borderId="1" xfId="0" applyFont="1" applyFill="1" applyBorder="1" applyAlignment="1">
      <alignment horizontal="center" textRotation="90"/>
    </xf>
    <xf numFmtId="0" fontId="6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horizontal="center"/>
    </xf>
    <xf numFmtId="0" fontId="7" fillId="9" borderId="33" xfId="0" applyFont="1" applyFill="1" applyBorder="1" applyAlignment="1">
      <alignment horizontal="center"/>
    </xf>
    <xf numFmtId="0" fontId="7" fillId="9" borderId="35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 vertical="center" wrapText="1"/>
    </xf>
    <xf numFmtId="0" fontId="2" fillId="5" borderId="36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9" fillId="5" borderId="37" xfId="0" applyFont="1" applyFill="1" applyBorder="1" applyAlignment="1">
      <alignment horizontal="left" vertical="center" wrapText="1"/>
    </xf>
    <xf numFmtId="0" fontId="9" fillId="5" borderId="38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left" vertical="center" wrapText="1"/>
    </xf>
    <xf numFmtId="0" fontId="9" fillId="6" borderId="37" xfId="0" applyFont="1" applyFill="1" applyBorder="1" applyAlignment="1">
      <alignment horizontal="left" vertical="center" wrapText="1"/>
    </xf>
    <xf numFmtId="0" fontId="9" fillId="6" borderId="13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165" fontId="2" fillId="6" borderId="23" xfId="0" applyNumberFormat="1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left" vertical="center" wrapText="1"/>
    </xf>
    <xf numFmtId="0" fontId="9" fillId="6" borderId="39" xfId="0" applyFont="1" applyFill="1" applyBorder="1" applyAlignment="1">
      <alignment horizontal="left" vertical="center"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/>
    </xf>
    <xf numFmtId="0" fontId="2" fillId="10" borderId="0" xfId="0" applyFont="1" applyFill="1" applyAlignment="1">
      <alignment vertical="center" wrapText="1"/>
    </xf>
    <xf numFmtId="0" fontId="4" fillId="10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33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4" fillId="11" borderId="3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/>
    </xf>
    <xf numFmtId="0" fontId="7" fillId="11" borderId="41" xfId="0" applyFont="1" applyFill="1" applyBorder="1" applyAlignment="1">
      <alignment horizontal="center"/>
    </xf>
    <xf numFmtId="0" fontId="7" fillId="11" borderId="35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vertical="center"/>
    </xf>
    <xf numFmtId="0" fontId="2" fillId="6" borderId="21" xfId="0" applyFont="1" applyFill="1" applyBorder="1" applyAlignment="1">
      <alignment horizontal="center" vertical="center" wrapText="1"/>
    </xf>
    <xf numFmtId="165" fontId="2" fillId="6" borderId="11" xfId="0" applyNumberFormat="1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164" fontId="9" fillId="6" borderId="23" xfId="0" applyNumberFormat="1" applyFont="1" applyFill="1" applyBorder="1" applyAlignment="1">
      <alignment horizontal="center" vertical="center" wrapText="1"/>
    </xf>
    <xf numFmtId="165" fontId="2" fillId="6" borderId="23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vertical="center"/>
    </xf>
    <xf numFmtId="164" fontId="2" fillId="5" borderId="11" xfId="0" applyNumberFormat="1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/>
    </xf>
    <xf numFmtId="0" fontId="0" fillId="0" borderId="40" xfId="0" applyBorder="1"/>
    <xf numFmtId="0" fontId="0" fillId="0" borderId="36" xfId="0" applyBorder="1"/>
    <xf numFmtId="0" fontId="0" fillId="0" borderId="34" xfId="0" applyBorder="1"/>
    <xf numFmtId="0" fontId="0" fillId="0" borderId="26" xfId="0" applyBorder="1"/>
    <xf numFmtId="0" fontId="9" fillId="13" borderId="43" xfId="0" applyFont="1" applyFill="1" applyBorder="1" applyAlignment="1">
      <alignment horizontal="center" vertical="center" wrapText="1"/>
    </xf>
    <xf numFmtId="0" fontId="9" fillId="13" borderId="44" xfId="0" applyFont="1" applyFill="1" applyBorder="1" applyAlignment="1">
      <alignment horizontal="center" vertical="center" wrapText="1"/>
    </xf>
    <xf numFmtId="10" fontId="9" fillId="13" borderId="44" xfId="0" applyNumberFormat="1" applyFont="1" applyFill="1" applyBorder="1" applyAlignment="1">
      <alignment horizontal="center" vertical="center" wrapText="1"/>
    </xf>
    <xf numFmtId="16" fontId="9" fillId="14" borderId="44" xfId="0" applyNumberFormat="1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right"/>
    </xf>
    <xf numFmtId="0" fontId="5" fillId="0" borderId="32" xfId="0" applyFont="1" applyBorder="1"/>
    <xf numFmtId="0" fontId="3" fillId="9" borderId="2" xfId="0" applyFont="1" applyFill="1" applyBorder="1" applyAlignment="1">
      <alignment horizontal="center" textRotation="90"/>
    </xf>
    <xf numFmtId="0" fontId="5" fillId="0" borderId="4" xfId="0" applyFont="1" applyBorder="1"/>
    <xf numFmtId="0" fontId="5" fillId="0" borderId="5" xfId="0" applyFont="1" applyBorder="1"/>
    <xf numFmtId="0" fontId="7" fillId="9" borderId="2" xfId="0" applyFont="1" applyFill="1" applyBorder="1" applyAlignment="1">
      <alignment horizontal="center" textRotation="90"/>
    </xf>
    <xf numFmtId="0" fontId="8" fillId="5" borderId="9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5" fillId="0" borderId="17" xfId="0" applyFont="1" applyBorder="1"/>
    <xf numFmtId="0" fontId="8" fillId="6" borderId="9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3" fillId="2" borderId="2" xfId="0" applyFont="1" applyFill="1" applyBorder="1" applyAlignment="1">
      <alignment horizontal="center" vertical="center" textRotation="90"/>
    </xf>
    <xf numFmtId="0" fontId="7" fillId="2" borderId="2" xfId="0" applyFont="1" applyFill="1" applyBorder="1" applyAlignment="1">
      <alignment horizontal="center" textRotation="90"/>
    </xf>
    <xf numFmtId="165" fontId="2" fillId="5" borderId="18" xfId="0" applyNumberFormat="1" applyFont="1" applyFill="1" applyBorder="1" applyAlignment="1">
      <alignment horizontal="center" vertical="center" wrapText="1"/>
    </xf>
    <xf numFmtId="0" fontId="5" fillId="0" borderId="19" xfId="0" applyFont="1" applyBorder="1"/>
    <xf numFmtId="0" fontId="5" fillId="0" borderId="20" xfId="0" applyFont="1" applyBorder="1"/>
    <xf numFmtId="0" fontId="0" fillId="0" borderId="36" xfId="0" applyBorder="1"/>
    <xf numFmtId="0" fontId="8" fillId="5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5" fillId="0" borderId="27" xfId="0" applyFont="1" applyBorder="1"/>
    <xf numFmtId="0" fontId="8" fillId="6" borderId="24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3" fillId="8" borderId="2" xfId="0" applyFont="1" applyFill="1" applyBorder="1" applyAlignment="1">
      <alignment horizontal="center" textRotation="90"/>
    </xf>
    <xf numFmtId="0" fontId="7" fillId="8" borderId="2" xfId="0" applyFont="1" applyFill="1" applyBorder="1" applyAlignment="1">
      <alignment horizontal="center" textRotation="90"/>
    </xf>
    <xf numFmtId="0" fontId="3" fillId="10" borderId="2" xfId="0" applyFont="1" applyFill="1" applyBorder="1" applyAlignment="1">
      <alignment horizontal="center" vertical="center" textRotation="90"/>
    </xf>
    <xf numFmtId="0" fontId="7" fillId="10" borderId="2" xfId="0" applyFont="1" applyFill="1" applyBorder="1" applyAlignment="1">
      <alignment horizontal="center" textRotation="90"/>
    </xf>
    <xf numFmtId="0" fontId="2" fillId="5" borderId="1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/>
    </xf>
    <xf numFmtId="0" fontId="5" fillId="0" borderId="42" xfId="0" applyFont="1" applyBorder="1"/>
    <xf numFmtId="0" fontId="2" fillId="7" borderId="31" xfId="0" applyFont="1" applyFill="1" applyBorder="1"/>
    <xf numFmtId="0" fontId="3" fillId="11" borderId="2" xfId="0" applyFont="1" applyFill="1" applyBorder="1" applyAlignment="1">
      <alignment horizontal="center" vertical="center" textRotation="90"/>
    </xf>
    <xf numFmtId="0" fontId="7" fillId="11" borderId="2" xfId="0" applyFont="1" applyFill="1" applyBorder="1" applyAlignment="1">
      <alignment horizontal="center" textRotation="90"/>
    </xf>
    <xf numFmtId="0" fontId="8" fillId="6" borderId="24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5" fillId="0" borderId="40" xfId="0" applyFont="1" applyBorder="1"/>
    <xf numFmtId="0" fontId="2" fillId="6" borderId="24" xfId="0" applyFont="1" applyFill="1" applyBorder="1" applyAlignment="1">
      <alignment horizontal="left" vertical="center" wrapText="1"/>
    </xf>
    <xf numFmtId="0" fontId="2" fillId="6" borderId="24" xfId="0" applyFont="1" applyFill="1" applyBorder="1" applyAlignment="1">
      <alignment vertical="center" wrapText="1"/>
    </xf>
    <xf numFmtId="0" fontId="5" fillId="0" borderId="34" xfId="0" applyFont="1" applyBorder="1"/>
    <xf numFmtId="0" fontId="8" fillId="5" borderId="45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/>
    <xf numFmtId="0" fontId="8" fillId="6" borderId="45" xfId="0" applyFont="1" applyFill="1" applyBorder="1" applyAlignment="1">
      <alignment horizontal="center" vertical="center" wrapText="1"/>
    </xf>
    <xf numFmtId="0" fontId="8" fillId="6" borderId="42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26" xfId="0" applyBorder="1" applyAlignment="1"/>
    <xf numFmtId="0" fontId="8" fillId="6" borderId="3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vertical="center" wrapText="1"/>
    </xf>
    <xf numFmtId="0" fontId="0" fillId="0" borderId="40" xfId="0" applyBorder="1" applyAlignment="1"/>
    <xf numFmtId="0" fontId="0" fillId="0" borderId="36" xfId="0" applyBorder="1" applyAlignment="1"/>
    <xf numFmtId="0" fontId="2" fillId="6" borderId="10" xfId="0" applyFont="1" applyFill="1" applyBorder="1" applyAlignment="1">
      <alignment vertical="center" wrapText="1"/>
    </xf>
    <xf numFmtId="0" fontId="2" fillId="6" borderId="34" xfId="0" applyFont="1" applyFill="1" applyBorder="1" applyAlignment="1">
      <alignment vertical="center" wrapText="1"/>
    </xf>
    <xf numFmtId="0" fontId="2" fillId="6" borderId="26" xfId="0" applyFont="1" applyFill="1" applyBorder="1" applyAlignment="1">
      <alignment vertical="center" wrapText="1"/>
    </xf>
  </cellXfs>
  <cellStyles count="2">
    <cellStyle name="Normal" xfId="0" builtinId="0"/>
    <cellStyle name="Normal 2" xfId="1" xr:uid="{889F2B6F-8B63-46A6-8682-7F3CCCADCEF7}"/>
  </cellStyles>
  <dxfs count="5">
    <dxf>
      <fill>
        <patternFill patternType="solid">
          <fgColor rgb="FF5AFF5A"/>
          <bgColor rgb="FF5AFF5A"/>
        </patternFill>
      </fill>
    </dxf>
    <dxf>
      <fill>
        <patternFill patternType="solid">
          <fgColor rgb="FF5AFF5A"/>
          <bgColor rgb="FF5AFF5A"/>
        </patternFill>
      </fill>
    </dxf>
    <dxf>
      <fill>
        <patternFill patternType="solid">
          <fgColor rgb="FF5AFF5A"/>
          <bgColor rgb="FF5AFF5A"/>
        </patternFill>
      </fill>
    </dxf>
    <dxf>
      <fill>
        <patternFill patternType="solid">
          <fgColor rgb="FF5AFF5A"/>
          <bgColor rgb="FF5AFF5A"/>
        </patternFill>
      </fill>
    </dxf>
    <dxf>
      <fill>
        <patternFill patternType="solid">
          <fgColor rgb="FF5AFF5A"/>
          <bgColor rgb="FF5AFF5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F1C567-5E9B-4556-8FB2-CF97AD6BA0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9b00a46-9704-4027-84c8-429a3d0eb2f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  <outlinePr summaryBelow="0" summaryRight="0"/>
  </sheetPr>
  <dimension ref="A1:AF1004"/>
  <sheetViews>
    <sheetView showGridLines="0" topLeftCell="A43" workbookViewId="0">
      <selection activeCell="N12" sqref="N12"/>
    </sheetView>
  </sheetViews>
  <sheetFormatPr defaultColWidth="12.5703125" defaultRowHeight="15" customHeight="1" x14ac:dyDescent="0.2"/>
  <cols>
    <col min="1" max="1" width="3.85546875" customWidth="1"/>
    <col min="2" max="2" width="12.85546875" customWidth="1"/>
    <col min="3" max="3" width="5.5703125" customWidth="1"/>
    <col min="4" max="4" width="4.28515625" customWidth="1"/>
    <col min="5" max="5" width="2.42578125" customWidth="1"/>
    <col min="6" max="6" width="19.85546875" customWidth="1"/>
    <col min="7" max="7" width="6.5703125" customWidth="1"/>
    <col min="8" max="8" width="10.140625" customWidth="1"/>
    <col min="9" max="9" width="8.42578125" customWidth="1"/>
    <col min="10" max="10" width="6.28515625" customWidth="1"/>
    <col min="11" max="13" width="5.42578125" customWidth="1"/>
    <col min="14" max="14" width="19.85546875" customWidth="1"/>
    <col min="15" max="15" width="24.140625" customWidth="1"/>
    <col min="16" max="16" width="23.42578125" customWidth="1"/>
  </cols>
  <sheetData>
    <row r="1" spans="1:32" ht="15.75" customHeight="1" x14ac:dyDescent="0.2">
      <c r="A1" s="1"/>
      <c r="B1" s="1"/>
      <c r="C1" s="2"/>
      <c r="D1" s="2"/>
      <c r="E1" s="2"/>
      <c r="F1" s="1"/>
      <c r="G1" s="3"/>
      <c r="H1" s="3"/>
      <c r="I1" s="3"/>
      <c r="J1" s="3"/>
      <c r="K1" s="3"/>
      <c r="L1" s="3"/>
      <c r="M1" s="3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">
      <c r="A2" s="1"/>
      <c r="B2" s="5"/>
      <c r="C2" s="6"/>
      <c r="D2" s="6"/>
      <c r="E2" s="6"/>
      <c r="F2" s="6"/>
      <c r="G2" s="6"/>
      <c r="H2" s="6"/>
      <c r="I2" s="6"/>
      <c r="J2" s="6"/>
      <c r="K2" s="217"/>
      <c r="L2" s="217"/>
      <c r="M2" s="217"/>
      <c r="N2" s="7"/>
      <c r="O2" s="8"/>
      <c r="P2" s="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 x14ac:dyDescent="0.2">
      <c r="A3" s="1"/>
      <c r="B3" s="9" t="s">
        <v>0</v>
      </c>
      <c r="C3" s="10"/>
      <c r="D3" s="10"/>
      <c r="E3" s="10"/>
      <c r="F3" s="10"/>
      <c r="G3" s="10"/>
      <c r="H3" s="10"/>
      <c r="I3" s="11"/>
      <c r="J3" s="11"/>
      <c r="K3" s="209"/>
      <c r="L3" s="209"/>
      <c r="M3" s="209"/>
      <c r="N3" s="12"/>
      <c r="O3" s="8"/>
      <c r="P3" s="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 x14ac:dyDescent="0.2">
      <c r="A4" s="1"/>
      <c r="B4" s="13"/>
      <c r="C4" s="14"/>
      <c r="D4" s="14"/>
      <c r="E4" s="14"/>
      <c r="F4" s="14"/>
      <c r="G4" s="14"/>
      <c r="H4" s="14"/>
      <c r="I4" s="14"/>
      <c r="J4" s="14"/>
      <c r="K4" s="210"/>
      <c r="L4" s="210"/>
      <c r="M4" s="210"/>
      <c r="N4" s="15"/>
      <c r="O4" s="8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26.25" customHeight="1" x14ac:dyDescent="0.2">
      <c r="A5" s="1"/>
      <c r="B5" s="16"/>
      <c r="C5" s="218" t="s">
        <v>1</v>
      </c>
      <c r="D5" s="218" t="s">
        <v>2</v>
      </c>
      <c r="E5" s="218" t="s">
        <v>3</v>
      </c>
      <c r="F5" s="16"/>
      <c r="G5" s="16"/>
      <c r="H5" s="16"/>
      <c r="I5" s="16"/>
      <c r="J5" s="16"/>
      <c r="K5" s="16"/>
      <c r="L5" s="16"/>
      <c r="M5" s="16"/>
      <c r="N5" s="17"/>
      <c r="O5" s="8"/>
      <c r="P5" s="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 x14ac:dyDescent="0.2">
      <c r="A6" s="1"/>
      <c r="B6" s="18" t="s">
        <v>4</v>
      </c>
      <c r="C6" s="210"/>
      <c r="D6" s="210"/>
      <c r="E6" s="210"/>
      <c r="F6" s="18" t="s">
        <v>5</v>
      </c>
      <c r="G6" s="19" t="s">
        <v>6</v>
      </c>
      <c r="H6" s="19" t="s">
        <v>7</v>
      </c>
      <c r="I6" s="19" t="s">
        <v>8</v>
      </c>
      <c r="J6" s="19" t="s">
        <v>9</v>
      </c>
      <c r="K6" s="19" t="s">
        <v>368</v>
      </c>
      <c r="L6" s="19" t="s">
        <v>369</v>
      </c>
      <c r="M6" s="19" t="s">
        <v>370</v>
      </c>
      <c r="N6" s="20" t="s">
        <v>10</v>
      </c>
      <c r="O6" s="21" t="s">
        <v>11</v>
      </c>
      <c r="P6" s="22" t="s">
        <v>12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customHeight="1" x14ac:dyDescent="0.2">
      <c r="A7" s="1"/>
      <c r="B7" s="212" t="s">
        <v>13</v>
      </c>
      <c r="C7" s="23">
        <v>4</v>
      </c>
      <c r="D7" s="23">
        <v>11</v>
      </c>
      <c r="E7" s="24">
        <v>5</v>
      </c>
      <c r="F7" s="25" t="s">
        <v>14</v>
      </c>
      <c r="G7" s="24">
        <v>50</v>
      </c>
      <c r="H7" s="24">
        <v>30</v>
      </c>
      <c r="I7" s="26">
        <v>26</v>
      </c>
      <c r="J7" s="27">
        <f t="shared" ref="J7:J126" si="0">IF(OR(I7="",I7=0),0,I7/H7)</f>
        <v>0.8666666666666667</v>
      </c>
      <c r="K7" s="28">
        <v>45683</v>
      </c>
      <c r="L7" s="28">
        <v>46077</v>
      </c>
      <c r="M7" s="28">
        <v>46157</v>
      </c>
      <c r="N7" s="29" t="s">
        <v>589</v>
      </c>
      <c r="O7" s="30" t="str">
        <f t="shared" ref="O7:O175" si="1">IF(OR(K7="",L7="",M7=""),"⬜ Aguardando 3º contato",IF(J7=0,"⬜ Sem acertos registrados",IF(J7&gt;0.9,"✅ Rever em "&amp;TEXT(M7+60,"dd/mm/aaaa"),IF(J7&gt;0.8001,"🔵 Rever em "&amp;TEXT(M7+45,"dd/mm/aaaa"),IF(J7&gt;0.7001,"🟡 Rever em "&amp;TEXT(M7+30,"dd/mm/aaaa"),"🔴 Rever em "&amp;TEXT(M7+7,"dd/mm/aaaa"))))))</f>
        <v>🔵 Rever em 29/06/2026</v>
      </c>
      <c r="P7" s="31" t="str">
        <f t="shared" ref="P7:P175" si="2">IF(J7=0,"",IF(AND(J7&lt;0.7,MAX(C7,D7)&gt;=4),"🚨 CRÍTICO: Alta incidência + baixo aproveitamento",IF(J7&lt;0.7,"⚠️ Baixo aproveitamento - revisar urgente",IF(AND(J7&lt;0.8,MAX(C7,D7)&gt;=4),"📌 Atenção: Alta incidência",""))))</f>
        <v/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 x14ac:dyDescent="0.2">
      <c r="A8" s="1"/>
      <c r="B8" s="213"/>
      <c r="C8" s="23">
        <v>2</v>
      </c>
      <c r="D8" s="23">
        <v>10</v>
      </c>
      <c r="E8" s="24">
        <v>5</v>
      </c>
      <c r="F8" s="25" t="s">
        <v>498</v>
      </c>
      <c r="G8" s="24">
        <v>66</v>
      </c>
      <c r="H8" s="24">
        <f>47+15</f>
        <v>62</v>
      </c>
      <c r="I8" s="26">
        <f>38+12</f>
        <v>50</v>
      </c>
      <c r="J8" s="27">
        <f t="shared" si="0"/>
        <v>0.80645161290322576</v>
      </c>
      <c r="K8" s="28">
        <v>46080</v>
      </c>
      <c r="L8" s="28">
        <v>46082</v>
      </c>
      <c r="M8" s="28">
        <v>46195</v>
      </c>
      <c r="N8" s="29" t="s">
        <v>356</v>
      </c>
      <c r="O8" s="30" t="str">
        <f t="shared" si="1"/>
        <v>🔵 Rever em 06/08/2026</v>
      </c>
      <c r="P8" s="32" t="str">
        <f t="shared" si="2"/>
        <v/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 x14ac:dyDescent="0.2">
      <c r="A9" s="1"/>
      <c r="B9" s="213"/>
      <c r="C9" s="23">
        <v>6</v>
      </c>
      <c r="D9" s="23">
        <v>11</v>
      </c>
      <c r="E9" s="24">
        <v>5</v>
      </c>
      <c r="F9" s="25" t="s">
        <v>499</v>
      </c>
      <c r="G9" s="24">
        <v>84</v>
      </c>
      <c r="H9" s="24">
        <f>37+15</f>
        <v>52</v>
      </c>
      <c r="I9" s="26">
        <f>26+12</f>
        <v>38</v>
      </c>
      <c r="J9" s="27">
        <f t="shared" si="0"/>
        <v>0.73076923076923073</v>
      </c>
      <c r="K9" s="28">
        <v>46094</v>
      </c>
      <c r="L9" s="28">
        <v>46105</v>
      </c>
      <c r="M9" s="28">
        <v>46174</v>
      </c>
      <c r="N9" s="29" t="s">
        <v>590</v>
      </c>
      <c r="O9" s="30" t="str">
        <f t="shared" si="1"/>
        <v>🟡 Rever em 01/07/2026</v>
      </c>
      <c r="P9" s="32" t="str">
        <f t="shared" si="2"/>
        <v>📌 Atenção: Alta incidência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 x14ac:dyDescent="0.2">
      <c r="A10" s="1"/>
      <c r="B10" s="213"/>
      <c r="C10" s="23">
        <v>1</v>
      </c>
      <c r="D10" s="23">
        <v>7</v>
      </c>
      <c r="E10" s="24">
        <v>4</v>
      </c>
      <c r="F10" s="25" t="s">
        <v>15</v>
      </c>
      <c r="G10" s="24">
        <v>37</v>
      </c>
      <c r="H10" s="24">
        <v>40</v>
      </c>
      <c r="I10" s="26"/>
      <c r="J10" s="27">
        <f t="shared" si="0"/>
        <v>0</v>
      </c>
      <c r="K10" s="28"/>
      <c r="L10" s="28"/>
      <c r="M10" s="28"/>
      <c r="N10" s="29" t="s">
        <v>352</v>
      </c>
      <c r="O10" s="30" t="str">
        <f t="shared" si="1"/>
        <v>⬜ Aguardando 3º contato</v>
      </c>
      <c r="P10" s="32" t="str">
        <f t="shared" si="2"/>
        <v/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 x14ac:dyDescent="0.2">
      <c r="A11" s="1"/>
      <c r="B11" s="213"/>
      <c r="C11" s="23">
        <v>1</v>
      </c>
      <c r="D11" s="23">
        <v>4</v>
      </c>
      <c r="E11" s="24">
        <v>5</v>
      </c>
      <c r="F11" s="25" t="s">
        <v>500</v>
      </c>
      <c r="G11" s="24">
        <v>58</v>
      </c>
      <c r="H11" s="24">
        <f>29+30</f>
        <v>59</v>
      </c>
      <c r="I11" s="26">
        <f>21+20</f>
        <v>41</v>
      </c>
      <c r="J11" s="27">
        <f t="shared" si="0"/>
        <v>0.69491525423728817</v>
      </c>
      <c r="K11" s="28">
        <v>46086</v>
      </c>
      <c r="L11" s="28">
        <v>46129</v>
      </c>
      <c r="M11" s="28">
        <v>46198</v>
      </c>
      <c r="N11" s="29" t="s">
        <v>359</v>
      </c>
      <c r="O11" s="30" t="str">
        <f t="shared" si="1"/>
        <v>🔴 Rever em 02/07/2026</v>
      </c>
      <c r="P11" s="32" t="str">
        <f t="shared" si="2"/>
        <v>🚨 CRÍTICO: Alta incidência + baixo aproveitamento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75" customHeight="1" x14ac:dyDescent="0.2">
      <c r="A12" s="1"/>
      <c r="B12" s="213"/>
      <c r="C12" s="23">
        <v>0</v>
      </c>
      <c r="D12" s="23">
        <v>4</v>
      </c>
      <c r="E12" s="24">
        <v>4</v>
      </c>
      <c r="F12" s="25" t="s">
        <v>16</v>
      </c>
      <c r="G12" s="24">
        <v>64</v>
      </c>
      <c r="H12" s="24">
        <v>40</v>
      </c>
      <c r="I12" s="26"/>
      <c r="J12" s="27">
        <f t="shared" si="0"/>
        <v>0</v>
      </c>
      <c r="K12" s="28"/>
      <c r="L12" s="28"/>
      <c r="M12" s="28"/>
      <c r="N12" s="29" t="s">
        <v>591</v>
      </c>
      <c r="O12" s="30" t="str">
        <f t="shared" si="1"/>
        <v>⬜ Aguardando 3º contato</v>
      </c>
      <c r="P12" s="32" t="str">
        <f t="shared" si="2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75" customHeight="1" x14ac:dyDescent="0.2">
      <c r="A13" s="1"/>
      <c r="B13" s="213"/>
      <c r="C13" s="23">
        <v>0</v>
      </c>
      <c r="D13" s="23">
        <v>0</v>
      </c>
      <c r="E13" s="24">
        <v>3</v>
      </c>
      <c r="F13" s="25" t="s">
        <v>501</v>
      </c>
      <c r="G13" s="24">
        <v>30</v>
      </c>
      <c r="H13" s="24">
        <v>30</v>
      </c>
      <c r="I13" s="26"/>
      <c r="J13" s="27">
        <f t="shared" si="0"/>
        <v>0</v>
      </c>
      <c r="K13" s="28"/>
      <c r="L13" s="28"/>
      <c r="M13" s="28"/>
      <c r="N13" s="29" t="s">
        <v>588</v>
      </c>
      <c r="O13" s="30" t="str">
        <f t="shared" si="1"/>
        <v>⬜ Aguardando 3º contato</v>
      </c>
      <c r="P13" s="32" t="str">
        <f t="shared" si="2"/>
        <v/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customHeight="1" x14ac:dyDescent="0.2">
      <c r="A14" s="1"/>
      <c r="B14" s="213"/>
      <c r="C14" s="23">
        <v>0</v>
      </c>
      <c r="D14" s="23">
        <v>2</v>
      </c>
      <c r="E14" s="24">
        <v>4</v>
      </c>
      <c r="F14" s="25" t="s">
        <v>17</v>
      </c>
      <c r="G14" s="24">
        <v>25</v>
      </c>
      <c r="H14" s="24">
        <v>40</v>
      </c>
      <c r="I14" s="26"/>
      <c r="J14" s="27">
        <f t="shared" si="0"/>
        <v>0</v>
      </c>
      <c r="K14" s="28"/>
      <c r="L14" s="28"/>
      <c r="M14" s="28"/>
      <c r="N14" s="29" t="s">
        <v>591</v>
      </c>
      <c r="O14" s="30" t="str">
        <f t="shared" si="1"/>
        <v>⬜ Aguardando 3º contato</v>
      </c>
      <c r="P14" s="32" t="str">
        <f t="shared" si="2"/>
        <v/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75" customHeight="1" x14ac:dyDescent="0.2">
      <c r="A15" s="1"/>
      <c r="B15" s="213"/>
      <c r="C15" s="23">
        <v>0</v>
      </c>
      <c r="D15" s="23">
        <v>1</v>
      </c>
      <c r="E15" s="24">
        <v>3</v>
      </c>
      <c r="F15" s="25" t="s">
        <v>18</v>
      </c>
      <c r="G15" s="24">
        <v>23</v>
      </c>
      <c r="H15" s="24">
        <v>30</v>
      </c>
      <c r="I15" s="26"/>
      <c r="J15" s="27">
        <f t="shared" si="0"/>
        <v>0</v>
      </c>
      <c r="K15" s="28"/>
      <c r="L15" s="28"/>
      <c r="M15" s="28"/>
      <c r="N15" s="29" t="s">
        <v>357</v>
      </c>
      <c r="O15" s="30" t="str">
        <f t="shared" si="1"/>
        <v>⬜ Aguardando 3º contato</v>
      </c>
      <c r="P15" s="32" t="str">
        <f t="shared" si="2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customHeight="1" x14ac:dyDescent="0.2">
      <c r="A16" s="1"/>
      <c r="B16" s="213"/>
      <c r="C16" s="23">
        <v>3</v>
      </c>
      <c r="D16" s="23">
        <v>0</v>
      </c>
      <c r="E16" s="24">
        <v>4</v>
      </c>
      <c r="F16" s="25" t="s">
        <v>502</v>
      </c>
      <c r="G16" s="24">
        <v>23</v>
      </c>
      <c r="H16" s="24">
        <v>40</v>
      </c>
      <c r="I16" s="26"/>
      <c r="J16" s="27">
        <f t="shared" si="0"/>
        <v>0</v>
      </c>
      <c r="K16" s="28"/>
      <c r="L16" s="28"/>
      <c r="M16" s="28"/>
      <c r="N16" s="29" t="s">
        <v>591</v>
      </c>
      <c r="O16" s="30" t="str">
        <f t="shared" si="1"/>
        <v>⬜ Aguardando 3º contato</v>
      </c>
      <c r="P16" s="32" t="str">
        <f t="shared" si="2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customHeight="1" x14ac:dyDescent="0.2">
      <c r="A17" s="1"/>
      <c r="B17" s="213"/>
      <c r="C17" s="23">
        <v>0</v>
      </c>
      <c r="D17" s="23">
        <v>3</v>
      </c>
      <c r="E17" s="24">
        <v>3</v>
      </c>
      <c r="F17" s="25" t="s">
        <v>19</v>
      </c>
      <c r="G17" s="24">
        <v>31</v>
      </c>
      <c r="H17" s="24">
        <v>30</v>
      </c>
      <c r="I17" s="26"/>
      <c r="J17" s="27">
        <f t="shared" si="0"/>
        <v>0</v>
      </c>
      <c r="K17" s="28"/>
      <c r="L17" s="28"/>
      <c r="M17" s="28"/>
      <c r="N17" s="29" t="s">
        <v>591</v>
      </c>
      <c r="O17" s="30" t="str">
        <f t="shared" si="1"/>
        <v>⬜ Aguardando 3º contato</v>
      </c>
      <c r="P17" s="32" t="str">
        <f t="shared" si="2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customHeight="1" x14ac:dyDescent="0.2">
      <c r="A18" s="1"/>
      <c r="B18" s="213"/>
      <c r="C18" s="23">
        <v>0</v>
      </c>
      <c r="D18" s="23">
        <v>4</v>
      </c>
      <c r="E18" s="24">
        <v>3</v>
      </c>
      <c r="F18" s="25" t="s">
        <v>503</v>
      </c>
      <c r="G18" s="24">
        <v>27</v>
      </c>
      <c r="H18" s="24">
        <v>30</v>
      </c>
      <c r="I18" s="26"/>
      <c r="J18" s="27">
        <f t="shared" si="0"/>
        <v>0</v>
      </c>
      <c r="K18" s="28"/>
      <c r="L18" s="28"/>
      <c r="M18" s="28"/>
      <c r="N18" s="29" t="s">
        <v>358</v>
      </c>
      <c r="O18" s="30" t="str">
        <f t="shared" si="1"/>
        <v>⬜ Aguardando 3º contato</v>
      </c>
      <c r="P18" s="32" t="str">
        <f t="shared" si="2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customHeight="1" x14ac:dyDescent="0.2">
      <c r="A19" s="1"/>
      <c r="B19" s="240"/>
      <c r="C19" s="23">
        <v>0</v>
      </c>
      <c r="D19" s="23">
        <v>0</v>
      </c>
      <c r="E19" s="24"/>
      <c r="F19" s="25" t="s">
        <v>504</v>
      </c>
      <c r="G19" s="24">
        <v>27</v>
      </c>
      <c r="H19" s="24">
        <v>30</v>
      </c>
      <c r="I19" s="26"/>
      <c r="J19" s="27">
        <f t="shared" ref="J19" si="3">IF(OR(I19="",I19=0),0,I19/H19)</f>
        <v>0</v>
      </c>
      <c r="K19" s="28"/>
      <c r="L19" s="28"/>
      <c r="M19" s="28"/>
      <c r="N19" s="29" t="s">
        <v>588</v>
      </c>
      <c r="O19" s="30" t="str">
        <f t="shared" ref="O19" si="4">IF(OR(K19="",L19="",M19=""),"⬜ Aguardando 3º contato",IF(J19=0,"⬜ Sem acertos registrados",IF(J19&gt;0.9,"✅ Rever em "&amp;TEXT(M19+60,"dd/mm/aaaa"),IF(J19&gt;0.8001,"🔵 Rever em "&amp;TEXT(M19+45,"dd/mm/aaaa"),IF(J19&gt;0.7001,"🟡 Rever em "&amp;TEXT(M19+30,"dd/mm/aaaa"),"🔴 Rever em "&amp;TEXT(M19+7,"dd/mm/aaaa"))))))</f>
        <v>⬜ Aguardando 3º contato</v>
      </c>
      <c r="P19" s="32" t="str">
        <f t="shared" ref="P19" si="5">IF(J19=0,"",IF(AND(J19&lt;0.7,MAX(C19,D19)&gt;=4),"🚨 CRÍTICO: Alta incidência + baixo aproveitamento",IF(J19&lt;0.7,"⚠️ Baixo aproveitamento - revisar urgente",IF(AND(J19&lt;0.8,MAX(C19,D19)&gt;=4),"📌 Atenção: Alta incidência",""))))</f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 x14ac:dyDescent="0.2">
      <c r="A20" s="1"/>
      <c r="B20" s="213"/>
      <c r="C20" s="23">
        <v>3</v>
      </c>
      <c r="D20" s="23">
        <v>2</v>
      </c>
      <c r="E20" s="24">
        <v>2</v>
      </c>
      <c r="F20" s="25" t="s">
        <v>20</v>
      </c>
      <c r="G20" s="24">
        <v>23</v>
      </c>
      <c r="H20" s="24">
        <v>20</v>
      </c>
      <c r="I20" s="26"/>
      <c r="J20" s="27">
        <f t="shared" si="0"/>
        <v>0</v>
      </c>
      <c r="K20" s="28"/>
      <c r="L20" s="28"/>
      <c r="M20" s="28"/>
      <c r="N20" s="29" t="s">
        <v>300</v>
      </c>
      <c r="O20" s="30" t="str">
        <f t="shared" si="1"/>
        <v>⬜ Aguardando 3º contato</v>
      </c>
      <c r="P20" s="32" t="str">
        <f t="shared" si="2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x14ac:dyDescent="0.2">
      <c r="A21" s="1"/>
      <c r="B21" s="213"/>
      <c r="C21" s="23">
        <v>1</v>
      </c>
      <c r="D21" s="23">
        <v>0</v>
      </c>
      <c r="E21" s="24">
        <v>2</v>
      </c>
      <c r="F21" s="25" t="s">
        <v>505</v>
      </c>
      <c r="G21" s="24">
        <v>23</v>
      </c>
      <c r="H21" s="24">
        <v>20</v>
      </c>
      <c r="I21" s="26"/>
      <c r="J21" s="27">
        <f t="shared" si="0"/>
        <v>0</v>
      </c>
      <c r="K21" s="28"/>
      <c r="L21" s="28"/>
      <c r="M21" s="28"/>
      <c r="N21" s="29" t="s">
        <v>299</v>
      </c>
      <c r="O21" s="30" t="str">
        <f t="shared" si="1"/>
        <v>⬜ Aguardando 3º contato</v>
      </c>
      <c r="P21" s="32" t="str">
        <f t="shared" si="2"/>
        <v/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x14ac:dyDescent="0.2">
      <c r="A22" s="1"/>
      <c r="B22" s="214"/>
      <c r="C22" s="23">
        <v>0</v>
      </c>
      <c r="D22" s="23">
        <v>0</v>
      </c>
      <c r="E22" s="24">
        <v>1</v>
      </c>
      <c r="F22" s="25" t="s">
        <v>21</v>
      </c>
      <c r="G22" s="24">
        <v>15</v>
      </c>
      <c r="H22" s="24">
        <v>10</v>
      </c>
      <c r="I22" s="26"/>
      <c r="J22" s="27">
        <f t="shared" si="0"/>
        <v>0</v>
      </c>
      <c r="K22" s="219"/>
      <c r="L22" s="220"/>
      <c r="M22" s="221"/>
      <c r="N22" s="29" t="s">
        <v>588</v>
      </c>
      <c r="O22" s="30" t="str">
        <f t="shared" si="1"/>
        <v>⬜ Aguardando 3º contato</v>
      </c>
      <c r="P22" s="32" t="str">
        <f t="shared" si="2"/>
        <v/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 x14ac:dyDescent="0.2">
      <c r="A23" s="1"/>
      <c r="B23" s="215" t="s">
        <v>22</v>
      </c>
      <c r="C23" s="33">
        <v>2</v>
      </c>
      <c r="D23" s="33">
        <v>1</v>
      </c>
      <c r="E23" s="34">
        <v>5</v>
      </c>
      <c r="F23" s="35" t="s">
        <v>506</v>
      </c>
      <c r="G23" s="34">
        <v>37</v>
      </c>
      <c r="H23" s="34">
        <v>50</v>
      </c>
      <c r="I23" s="36"/>
      <c r="J23" s="37">
        <f t="shared" si="0"/>
        <v>0</v>
      </c>
      <c r="K23" s="38"/>
      <c r="L23" s="38"/>
      <c r="M23" s="38"/>
      <c r="N23" s="39" t="s">
        <v>290</v>
      </c>
      <c r="O23" s="40" t="str">
        <f t="shared" si="1"/>
        <v>⬜ Aguardando 3º contato</v>
      </c>
      <c r="P23" s="41" t="str">
        <f t="shared" si="2"/>
        <v/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 x14ac:dyDescent="0.2">
      <c r="A24" s="1"/>
      <c r="B24" s="213"/>
      <c r="C24" s="33">
        <v>2</v>
      </c>
      <c r="D24" s="33">
        <v>2</v>
      </c>
      <c r="E24" s="34">
        <v>5</v>
      </c>
      <c r="F24" s="35" t="s">
        <v>23</v>
      </c>
      <c r="G24" s="34">
        <v>65</v>
      </c>
      <c r="H24" s="34">
        <v>50</v>
      </c>
      <c r="I24" s="36"/>
      <c r="J24" s="37">
        <f t="shared" si="0"/>
        <v>0</v>
      </c>
      <c r="K24" s="38"/>
      <c r="L24" s="38"/>
      <c r="M24" s="38"/>
      <c r="N24" s="39" t="s">
        <v>292</v>
      </c>
      <c r="O24" s="40" t="str">
        <f t="shared" si="1"/>
        <v>⬜ Aguardando 3º contato</v>
      </c>
      <c r="P24" s="41" t="str">
        <f t="shared" si="2"/>
        <v/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 x14ac:dyDescent="0.2">
      <c r="A25" s="1"/>
      <c r="B25" s="213"/>
      <c r="C25" s="33">
        <v>1</v>
      </c>
      <c r="D25" s="33">
        <v>3</v>
      </c>
      <c r="E25" s="34">
        <v>4</v>
      </c>
      <c r="F25" s="35" t="s">
        <v>24</v>
      </c>
      <c r="G25" s="34">
        <v>69</v>
      </c>
      <c r="H25" s="34">
        <v>40</v>
      </c>
      <c r="I25" s="36"/>
      <c r="J25" s="37">
        <f t="shared" si="0"/>
        <v>0</v>
      </c>
      <c r="K25" s="38"/>
      <c r="L25" s="38"/>
      <c r="M25" s="38"/>
      <c r="N25" s="39" t="s">
        <v>291</v>
      </c>
      <c r="O25" s="40" t="str">
        <f t="shared" si="1"/>
        <v>⬜ Aguardando 3º contato</v>
      </c>
      <c r="P25" s="41" t="str">
        <f t="shared" si="2"/>
        <v/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 x14ac:dyDescent="0.2">
      <c r="A26" s="1"/>
      <c r="B26" s="213"/>
      <c r="C26" s="33">
        <v>0</v>
      </c>
      <c r="D26" s="33">
        <v>1</v>
      </c>
      <c r="E26" s="34">
        <v>3</v>
      </c>
      <c r="F26" s="35" t="s">
        <v>507</v>
      </c>
      <c r="G26" s="34">
        <v>22</v>
      </c>
      <c r="H26" s="34">
        <v>30</v>
      </c>
      <c r="I26" s="36"/>
      <c r="J26" s="37">
        <f t="shared" si="0"/>
        <v>0</v>
      </c>
      <c r="K26" s="38"/>
      <c r="L26" s="38"/>
      <c r="M26" s="38"/>
      <c r="N26" s="39" t="s">
        <v>349</v>
      </c>
      <c r="O26" s="40" t="str">
        <f t="shared" si="1"/>
        <v>⬜ Aguardando 3º contato</v>
      </c>
      <c r="P26" s="41" t="str">
        <f t="shared" si="2"/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 x14ac:dyDescent="0.2">
      <c r="A27" s="1"/>
      <c r="B27" s="213"/>
      <c r="C27" s="33">
        <v>0</v>
      </c>
      <c r="D27" s="33">
        <v>1</v>
      </c>
      <c r="E27" s="34">
        <v>4</v>
      </c>
      <c r="F27" s="35" t="s">
        <v>508</v>
      </c>
      <c r="G27" s="34">
        <v>27</v>
      </c>
      <c r="H27" s="34">
        <v>40</v>
      </c>
      <c r="I27" s="36"/>
      <c r="J27" s="37">
        <f t="shared" si="0"/>
        <v>0</v>
      </c>
      <c r="K27" s="38"/>
      <c r="L27" s="38"/>
      <c r="M27" s="38"/>
      <c r="N27" s="39" t="s">
        <v>350</v>
      </c>
      <c r="O27" s="40" t="str">
        <f t="shared" si="1"/>
        <v>⬜ Aguardando 3º contato</v>
      </c>
      <c r="P27" s="41" t="str">
        <f t="shared" si="2"/>
        <v/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">
      <c r="A28" s="1"/>
      <c r="B28" s="213"/>
      <c r="C28" s="33">
        <v>2</v>
      </c>
      <c r="D28" s="33">
        <v>1</v>
      </c>
      <c r="E28" s="34">
        <v>3</v>
      </c>
      <c r="F28" s="35" t="s">
        <v>509</v>
      </c>
      <c r="G28" s="34">
        <v>19</v>
      </c>
      <c r="H28" s="34">
        <v>30</v>
      </c>
      <c r="I28" s="36"/>
      <c r="J28" s="37">
        <f t="shared" si="0"/>
        <v>0</v>
      </c>
      <c r="K28" s="38"/>
      <c r="L28" s="38"/>
      <c r="M28" s="38"/>
      <c r="N28" s="39" t="s">
        <v>289</v>
      </c>
      <c r="O28" s="40" t="str">
        <f t="shared" si="1"/>
        <v>⬜ Aguardando 3º contato</v>
      </c>
      <c r="P28" s="41" t="str">
        <f t="shared" si="2"/>
        <v/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">
      <c r="A29" s="1"/>
      <c r="B29" s="213"/>
      <c r="C29" s="33">
        <v>2</v>
      </c>
      <c r="D29" s="33">
        <v>0</v>
      </c>
      <c r="E29" s="34">
        <v>3</v>
      </c>
      <c r="F29" s="35" t="s">
        <v>25</v>
      </c>
      <c r="G29" s="34">
        <v>23</v>
      </c>
      <c r="H29" s="34">
        <v>30</v>
      </c>
      <c r="I29" s="36"/>
      <c r="J29" s="37">
        <f t="shared" si="0"/>
        <v>0</v>
      </c>
      <c r="K29" s="38"/>
      <c r="L29" s="38"/>
      <c r="M29" s="38"/>
      <c r="N29" s="39" t="s">
        <v>288</v>
      </c>
      <c r="O29" s="40" t="str">
        <f t="shared" si="1"/>
        <v>⬜ Aguardando 3º contato</v>
      </c>
      <c r="P29" s="41" t="str">
        <f t="shared" si="2"/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2">
      <c r="A30" s="1"/>
      <c r="B30" s="213"/>
      <c r="C30" s="33">
        <v>0</v>
      </c>
      <c r="D30" s="33">
        <v>2</v>
      </c>
      <c r="E30" s="34">
        <v>3</v>
      </c>
      <c r="F30" s="35" t="s">
        <v>510</v>
      </c>
      <c r="G30" s="34">
        <v>36</v>
      </c>
      <c r="H30" s="34">
        <v>20</v>
      </c>
      <c r="I30" s="36"/>
      <c r="J30" s="37">
        <f t="shared" si="0"/>
        <v>0</v>
      </c>
      <c r="K30" s="38"/>
      <c r="L30" s="38"/>
      <c r="M30" s="38"/>
      <c r="N30" s="39" t="s">
        <v>591</v>
      </c>
      <c r="O30" s="40" t="str">
        <f t="shared" si="1"/>
        <v>⬜ Aguardando 3º contato</v>
      </c>
      <c r="P30" s="41" t="str">
        <f t="shared" si="2"/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2">
      <c r="A31" s="1"/>
      <c r="B31" s="213"/>
      <c r="C31" s="33">
        <v>0</v>
      </c>
      <c r="D31" s="33">
        <v>0</v>
      </c>
      <c r="E31" s="34">
        <v>3</v>
      </c>
      <c r="F31" s="35" t="s">
        <v>511</v>
      </c>
      <c r="G31" s="34">
        <v>36</v>
      </c>
      <c r="H31" s="34">
        <v>30</v>
      </c>
      <c r="I31" s="36"/>
      <c r="J31" s="37">
        <f t="shared" si="0"/>
        <v>0</v>
      </c>
      <c r="K31" s="38"/>
      <c r="L31" s="38"/>
      <c r="M31" s="38"/>
      <c r="N31" s="39" t="s">
        <v>588</v>
      </c>
      <c r="O31" s="40" t="str">
        <f t="shared" si="1"/>
        <v>⬜ Aguardando 3º contato</v>
      </c>
      <c r="P31" s="41" t="str">
        <f t="shared" si="2"/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 x14ac:dyDescent="0.2">
      <c r="A32" s="1"/>
      <c r="B32" s="213"/>
      <c r="C32" s="33">
        <v>0</v>
      </c>
      <c r="D32" s="33">
        <v>2</v>
      </c>
      <c r="E32" s="34">
        <v>3</v>
      </c>
      <c r="F32" s="35" t="s">
        <v>512</v>
      </c>
      <c r="G32" s="34">
        <v>49</v>
      </c>
      <c r="H32" s="34">
        <v>30</v>
      </c>
      <c r="I32" s="36"/>
      <c r="J32" s="37">
        <f t="shared" si="0"/>
        <v>0</v>
      </c>
      <c r="K32" s="38"/>
      <c r="L32" s="38"/>
      <c r="M32" s="38"/>
      <c r="N32" s="39" t="s">
        <v>347</v>
      </c>
      <c r="O32" s="40" t="str">
        <f t="shared" si="1"/>
        <v>⬜ Aguardando 3º contato</v>
      </c>
      <c r="P32" s="41" t="str">
        <f t="shared" si="2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 x14ac:dyDescent="0.2">
      <c r="A33" s="1"/>
      <c r="B33" s="214"/>
      <c r="C33" s="33">
        <v>0</v>
      </c>
      <c r="D33" s="33">
        <v>2</v>
      </c>
      <c r="E33" s="34">
        <v>1</v>
      </c>
      <c r="F33" s="35" t="s">
        <v>348</v>
      </c>
      <c r="G33" s="34">
        <v>6</v>
      </c>
      <c r="H33" s="34">
        <v>10</v>
      </c>
      <c r="I33" s="36"/>
      <c r="J33" s="37">
        <f t="shared" si="0"/>
        <v>0</v>
      </c>
      <c r="K33" s="38"/>
      <c r="L33" s="38"/>
      <c r="M33" s="38"/>
      <c r="N33" s="39" t="s">
        <v>591</v>
      </c>
      <c r="O33" s="40" t="str">
        <f t="shared" si="1"/>
        <v>⬜ Aguardando 3º contato</v>
      </c>
      <c r="P33" s="41" t="str">
        <f t="shared" si="2"/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2">
      <c r="A34" s="1"/>
      <c r="B34" s="212" t="s">
        <v>26</v>
      </c>
      <c r="C34" s="23">
        <v>3</v>
      </c>
      <c r="D34" s="23">
        <v>2</v>
      </c>
      <c r="E34" s="24">
        <v>2</v>
      </c>
      <c r="F34" s="25" t="s">
        <v>513</v>
      </c>
      <c r="G34" s="24">
        <v>39</v>
      </c>
      <c r="H34" s="24">
        <v>20</v>
      </c>
      <c r="I34" s="26"/>
      <c r="J34" s="27">
        <f t="shared" si="0"/>
        <v>0</v>
      </c>
      <c r="K34" s="28"/>
      <c r="L34" s="28"/>
      <c r="M34" s="28"/>
      <c r="N34" s="29" t="s">
        <v>592</v>
      </c>
      <c r="O34" s="30" t="str">
        <f t="shared" si="1"/>
        <v>⬜ Aguardando 3º contato</v>
      </c>
      <c r="P34" s="32" t="str">
        <f t="shared" si="2"/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">
      <c r="A35" s="1"/>
      <c r="B35" s="213"/>
      <c r="C35" s="23">
        <v>3</v>
      </c>
      <c r="D35" s="23">
        <v>2</v>
      </c>
      <c r="E35" s="24">
        <v>4</v>
      </c>
      <c r="F35" s="25" t="s">
        <v>514</v>
      </c>
      <c r="G35" s="24">
        <v>30</v>
      </c>
      <c r="H35" s="24">
        <v>40</v>
      </c>
      <c r="I35" s="26"/>
      <c r="J35" s="27">
        <f t="shared" si="0"/>
        <v>0</v>
      </c>
      <c r="K35" s="28"/>
      <c r="L35" s="28"/>
      <c r="M35" s="28"/>
      <c r="N35" s="29" t="s">
        <v>269</v>
      </c>
      <c r="O35" s="30" t="str">
        <f t="shared" si="1"/>
        <v>⬜ Aguardando 3º contato</v>
      </c>
      <c r="P35" s="32" t="str">
        <f t="shared" si="2"/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">
      <c r="A36" s="1"/>
      <c r="B36" s="213"/>
      <c r="C36" s="23">
        <v>0</v>
      </c>
      <c r="D36" s="23">
        <v>0</v>
      </c>
      <c r="E36" s="24">
        <v>3</v>
      </c>
      <c r="F36" s="25" t="s">
        <v>515</v>
      </c>
      <c r="G36" s="24">
        <v>52</v>
      </c>
      <c r="H36" s="24">
        <v>30</v>
      </c>
      <c r="I36" s="26"/>
      <c r="J36" s="27">
        <f t="shared" si="0"/>
        <v>0</v>
      </c>
      <c r="K36" s="28"/>
      <c r="L36" s="28"/>
      <c r="M36" s="28"/>
      <c r="N36" s="29" t="s">
        <v>588</v>
      </c>
      <c r="O36" s="30" t="str">
        <f t="shared" si="1"/>
        <v>⬜ Aguardando 3º contato</v>
      </c>
      <c r="P36" s="32" t="str">
        <f t="shared" si="2"/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">
      <c r="A37" s="1"/>
      <c r="B37" s="213"/>
      <c r="C37" s="23">
        <v>0</v>
      </c>
      <c r="D37" s="23">
        <v>0</v>
      </c>
      <c r="E37" s="24">
        <v>3</v>
      </c>
      <c r="F37" s="25" t="s">
        <v>516</v>
      </c>
      <c r="G37" s="24">
        <v>42</v>
      </c>
      <c r="H37" s="24">
        <v>30</v>
      </c>
      <c r="I37" s="26"/>
      <c r="J37" s="27">
        <f t="shared" si="0"/>
        <v>0</v>
      </c>
      <c r="K37" s="28"/>
      <c r="L37" s="28"/>
      <c r="M37" s="28"/>
      <c r="N37" s="29" t="s">
        <v>588</v>
      </c>
      <c r="O37" s="30" t="str">
        <f t="shared" si="1"/>
        <v>⬜ Aguardando 3º contato</v>
      </c>
      <c r="P37" s="32" t="str">
        <f t="shared" si="2"/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">
      <c r="A38" s="1"/>
      <c r="B38" s="213"/>
      <c r="C38" s="23">
        <v>3</v>
      </c>
      <c r="D38" s="23">
        <v>1</v>
      </c>
      <c r="E38" s="24">
        <v>4</v>
      </c>
      <c r="F38" s="25" t="s">
        <v>27</v>
      </c>
      <c r="G38" s="24">
        <v>31</v>
      </c>
      <c r="H38" s="24">
        <v>40</v>
      </c>
      <c r="I38" s="26"/>
      <c r="J38" s="27">
        <f t="shared" si="0"/>
        <v>0</v>
      </c>
      <c r="K38" s="28"/>
      <c r="L38" s="28"/>
      <c r="M38" s="28"/>
      <c r="N38" s="29" t="s">
        <v>268</v>
      </c>
      <c r="O38" s="30" t="str">
        <f t="shared" si="1"/>
        <v>⬜ Aguardando 3º contato</v>
      </c>
      <c r="P38" s="32" t="str">
        <f t="shared" si="2"/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">
      <c r="A39" s="1"/>
      <c r="B39" s="213"/>
      <c r="C39" s="23">
        <v>4</v>
      </c>
      <c r="D39" s="23">
        <v>8</v>
      </c>
      <c r="E39" s="24">
        <v>3</v>
      </c>
      <c r="F39" s="25" t="s">
        <v>586</v>
      </c>
      <c r="G39" s="24">
        <v>24</v>
      </c>
      <c r="H39" s="24">
        <v>30</v>
      </c>
      <c r="I39" s="26"/>
      <c r="J39" s="27">
        <f t="shared" si="0"/>
        <v>0</v>
      </c>
      <c r="K39" s="28"/>
      <c r="L39" s="28"/>
      <c r="M39" s="28"/>
      <c r="N39" s="29" t="s">
        <v>267</v>
      </c>
      <c r="O39" s="30" t="str">
        <f t="shared" si="1"/>
        <v>⬜ Aguardando 3º contato</v>
      </c>
      <c r="P39" s="32" t="str">
        <f t="shared" si="2"/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">
      <c r="A40" s="1"/>
      <c r="B40" s="213"/>
      <c r="C40" s="23">
        <v>0</v>
      </c>
      <c r="D40" s="23">
        <v>1</v>
      </c>
      <c r="E40" s="24">
        <v>1</v>
      </c>
      <c r="F40" s="25" t="s">
        <v>28</v>
      </c>
      <c r="G40" s="24">
        <v>33</v>
      </c>
      <c r="H40" s="24">
        <v>10</v>
      </c>
      <c r="I40" s="26"/>
      <c r="J40" s="27">
        <f t="shared" si="0"/>
        <v>0</v>
      </c>
      <c r="K40" s="28"/>
      <c r="L40" s="28"/>
      <c r="M40" s="28"/>
      <c r="N40" s="29" t="s">
        <v>591</v>
      </c>
      <c r="O40" s="30" t="str">
        <f t="shared" si="1"/>
        <v>⬜ Aguardando 3º contato</v>
      </c>
      <c r="P40" s="32" t="str">
        <f t="shared" si="2"/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">
      <c r="A41" s="1"/>
      <c r="B41" s="213"/>
      <c r="C41" s="23">
        <v>0</v>
      </c>
      <c r="D41" s="23">
        <v>0</v>
      </c>
      <c r="E41" s="24">
        <v>1</v>
      </c>
      <c r="F41" s="25" t="s">
        <v>517</v>
      </c>
      <c r="G41" s="24">
        <v>25</v>
      </c>
      <c r="H41" s="24">
        <v>10</v>
      </c>
      <c r="I41" s="26"/>
      <c r="J41" s="27">
        <f t="shared" si="0"/>
        <v>0</v>
      </c>
      <c r="K41" s="28"/>
      <c r="L41" s="28"/>
      <c r="M41" s="28"/>
      <c r="N41" s="29" t="s">
        <v>588</v>
      </c>
      <c r="O41" s="30" t="str">
        <f t="shared" si="1"/>
        <v>⬜ Aguardando 3º contato</v>
      </c>
      <c r="P41" s="32" t="str">
        <f t="shared" si="2"/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">
      <c r="A42" s="1"/>
      <c r="B42" s="213"/>
      <c r="C42" s="23">
        <v>4</v>
      </c>
      <c r="D42" s="23">
        <v>0</v>
      </c>
      <c r="E42" s="24">
        <v>4</v>
      </c>
      <c r="F42" s="25" t="s">
        <v>518</v>
      </c>
      <c r="G42" s="24">
        <v>31</v>
      </c>
      <c r="H42" s="24">
        <v>40</v>
      </c>
      <c r="I42" s="26"/>
      <c r="J42" s="27">
        <f t="shared" si="0"/>
        <v>0</v>
      </c>
      <c r="K42" s="28"/>
      <c r="L42" s="28"/>
      <c r="M42" s="28"/>
      <c r="N42" s="29" t="s">
        <v>286</v>
      </c>
      <c r="O42" s="30" t="str">
        <f t="shared" si="1"/>
        <v>⬜ Aguardando 3º contato</v>
      </c>
      <c r="P42" s="32" t="str">
        <f t="shared" si="2"/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">
      <c r="A43" s="1"/>
      <c r="B43" s="213"/>
      <c r="C43" s="23">
        <v>4</v>
      </c>
      <c r="D43" s="23">
        <v>2</v>
      </c>
      <c r="E43" s="24">
        <v>3</v>
      </c>
      <c r="F43" s="25" t="s">
        <v>142</v>
      </c>
      <c r="G43" s="24">
        <v>64</v>
      </c>
      <c r="H43" s="24">
        <v>30</v>
      </c>
      <c r="I43" s="26"/>
      <c r="J43" s="27">
        <f t="shared" si="0"/>
        <v>0</v>
      </c>
      <c r="K43" s="28"/>
      <c r="L43" s="28"/>
      <c r="M43" s="28"/>
      <c r="N43" s="29" t="s">
        <v>591</v>
      </c>
      <c r="O43" s="30" t="str">
        <f t="shared" si="1"/>
        <v>⬜ Aguardando 3º contato</v>
      </c>
      <c r="P43" s="32" t="str">
        <f t="shared" si="2"/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">
      <c r="A44" s="1"/>
      <c r="B44" s="213"/>
      <c r="C44" s="23">
        <v>0</v>
      </c>
      <c r="D44" s="23">
        <v>0</v>
      </c>
      <c r="E44" s="24">
        <v>3</v>
      </c>
      <c r="F44" s="25" t="s">
        <v>519</v>
      </c>
      <c r="G44" s="24">
        <v>36</v>
      </c>
      <c r="H44" s="24">
        <v>30</v>
      </c>
      <c r="I44" s="26"/>
      <c r="J44" s="27">
        <f t="shared" si="0"/>
        <v>0</v>
      </c>
      <c r="K44" s="28"/>
      <c r="L44" s="28"/>
      <c r="M44" s="28"/>
      <c r="N44" s="29" t="s">
        <v>588</v>
      </c>
      <c r="O44" s="30" t="str">
        <f t="shared" si="1"/>
        <v>⬜ Aguardando 3º contato</v>
      </c>
      <c r="P44" s="32" t="str">
        <f t="shared" si="2"/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">
      <c r="A45" s="1"/>
      <c r="B45" s="240"/>
      <c r="C45" s="23">
        <v>0</v>
      </c>
      <c r="D45" s="23">
        <v>0</v>
      </c>
      <c r="E45" s="24"/>
      <c r="F45" s="25" t="s">
        <v>520</v>
      </c>
      <c r="G45" s="24"/>
      <c r="H45" s="24"/>
      <c r="I45" s="26"/>
      <c r="J45" s="27"/>
      <c r="K45" s="28"/>
      <c r="L45" s="28"/>
      <c r="M45" s="28"/>
      <c r="N45" s="29" t="s">
        <v>588</v>
      </c>
      <c r="O45" s="30"/>
      <c r="P45" s="3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">
      <c r="A46" s="1"/>
      <c r="B46" s="213"/>
      <c r="C46" s="23">
        <v>0</v>
      </c>
      <c r="D46" s="23">
        <v>0</v>
      </c>
      <c r="E46" s="24">
        <v>2</v>
      </c>
      <c r="F46" s="25" t="s">
        <v>29</v>
      </c>
      <c r="G46" s="24">
        <v>35</v>
      </c>
      <c r="H46" s="24">
        <v>20</v>
      </c>
      <c r="I46" s="26"/>
      <c r="J46" s="27">
        <f t="shared" si="0"/>
        <v>0</v>
      </c>
      <c r="K46" s="28"/>
      <c r="L46" s="28"/>
      <c r="M46" s="28"/>
      <c r="N46" s="29" t="s">
        <v>588</v>
      </c>
      <c r="O46" s="30" t="str">
        <f t="shared" si="1"/>
        <v>⬜ Aguardando 3º contato</v>
      </c>
      <c r="P46" s="32" t="str">
        <f t="shared" si="2"/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">
      <c r="A47" s="1"/>
      <c r="B47" s="214"/>
      <c r="C47" s="23">
        <v>0</v>
      </c>
      <c r="D47" s="23">
        <v>1</v>
      </c>
      <c r="E47" s="24">
        <v>1</v>
      </c>
      <c r="F47" s="25" t="s">
        <v>521</v>
      </c>
      <c r="G47" s="24">
        <v>21</v>
      </c>
      <c r="H47" s="24">
        <v>10</v>
      </c>
      <c r="I47" s="26"/>
      <c r="J47" s="27">
        <f t="shared" si="0"/>
        <v>0</v>
      </c>
      <c r="K47" s="28"/>
      <c r="L47" s="28"/>
      <c r="M47" s="28"/>
      <c r="N47" s="29" t="s">
        <v>588</v>
      </c>
      <c r="O47" s="30" t="str">
        <f t="shared" si="1"/>
        <v>⬜ Aguardando 3º contato</v>
      </c>
      <c r="P47" s="32" t="str">
        <f t="shared" si="2"/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">
      <c r="A48" s="1"/>
      <c r="B48" s="215" t="s">
        <v>30</v>
      </c>
      <c r="C48" s="33">
        <v>1</v>
      </c>
      <c r="D48" s="33">
        <v>4</v>
      </c>
      <c r="E48" s="34">
        <v>5</v>
      </c>
      <c r="F48" s="35" t="s">
        <v>522</v>
      </c>
      <c r="G48" s="34">
        <v>65</v>
      </c>
      <c r="H48" s="34">
        <v>50</v>
      </c>
      <c r="I48" s="36"/>
      <c r="J48" s="37">
        <f t="shared" si="0"/>
        <v>0</v>
      </c>
      <c r="K48" s="38"/>
      <c r="L48" s="38"/>
      <c r="M48" s="38"/>
      <c r="N48" s="39" t="s">
        <v>345</v>
      </c>
      <c r="O48" s="40" t="str">
        <f t="shared" si="1"/>
        <v>⬜ Aguardando 3º contato</v>
      </c>
      <c r="P48" s="41" t="str">
        <f t="shared" si="2"/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">
      <c r="A49" s="1"/>
      <c r="B49" s="213"/>
      <c r="C49" s="33">
        <v>3</v>
      </c>
      <c r="D49" s="33">
        <v>1</v>
      </c>
      <c r="E49" s="34">
        <v>5</v>
      </c>
      <c r="F49" s="35" t="s">
        <v>523</v>
      </c>
      <c r="G49" s="34">
        <v>25</v>
      </c>
      <c r="H49" s="34">
        <v>50</v>
      </c>
      <c r="I49" s="36"/>
      <c r="J49" s="37">
        <f t="shared" si="0"/>
        <v>0</v>
      </c>
      <c r="K49" s="38"/>
      <c r="L49" s="38"/>
      <c r="M49" s="38"/>
      <c r="N49" s="39" t="s">
        <v>284</v>
      </c>
      <c r="O49" s="40" t="str">
        <f t="shared" si="1"/>
        <v>⬜ Aguardando 3º contato</v>
      </c>
      <c r="P49" s="41" t="str">
        <f t="shared" si="2"/>
        <v/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">
      <c r="A50" s="1"/>
      <c r="B50" s="213"/>
      <c r="C50" s="33">
        <v>2</v>
      </c>
      <c r="D50" s="33">
        <v>2</v>
      </c>
      <c r="E50" s="34">
        <v>5</v>
      </c>
      <c r="F50" s="35" t="s">
        <v>524</v>
      </c>
      <c r="G50" s="34">
        <v>46</v>
      </c>
      <c r="H50" s="34">
        <v>50</v>
      </c>
      <c r="I50" s="36"/>
      <c r="J50" s="37">
        <f t="shared" si="0"/>
        <v>0</v>
      </c>
      <c r="K50" s="38"/>
      <c r="L50" s="38"/>
      <c r="M50" s="38"/>
      <c r="N50" s="39" t="s">
        <v>346</v>
      </c>
      <c r="O50" s="40" t="str">
        <f t="shared" si="1"/>
        <v>⬜ Aguardando 3º contato</v>
      </c>
      <c r="P50" s="41" t="str">
        <f t="shared" si="2"/>
        <v/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 x14ac:dyDescent="0.2">
      <c r="A51" s="1"/>
      <c r="B51" s="213"/>
      <c r="C51" s="33">
        <v>0</v>
      </c>
      <c r="D51" s="33">
        <v>0</v>
      </c>
      <c r="E51" s="34">
        <v>3</v>
      </c>
      <c r="F51" s="35" t="s">
        <v>31</v>
      </c>
      <c r="G51" s="34">
        <v>36</v>
      </c>
      <c r="H51" s="34">
        <v>30</v>
      </c>
      <c r="I51" s="36"/>
      <c r="J51" s="37">
        <f t="shared" si="0"/>
        <v>0</v>
      </c>
      <c r="K51" s="38"/>
      <c r="L51" s="38"/>
      <c r="M51" s="38"/>
      <c r="N51" s="39" t="s">
        <v>588</v>
      </c>
      <c r="O51" s="40" t="str">
        <f t="shared" si="1"/>
        <v>⬜ Aguardando 3º contato</v>
      </c>
      <c r="P51" s="41" t="str">
        <f t="shared" si="2"/>
        <v/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">
      <c r="A52" s="1"/>
      <c r="B52" s="213"/>
      <c r="C52" s="33">
        <v>1</v>
      </c>
      <c r="D52" s="33">
        <v>1</v>
      </c>
      <c r="E52" s="34">
        <v>2</v>
      </c>
      <c r="F52" s="35" t="s">
        <v>32</v>
      </c>
      <c r="G52" s="34">
        <v>19</v>
      </c>
      <c r="H52" s="34">
        <v>20</v>
      </c>
      <c r="I52" s="36"/>
      <c r="J52" s="37">
        <f t="shared" si="0"/>
        <v>0</v>
      </c>
      <c r="K52" s="38"/>
      <c r="L52" s="38"/>
      <c r="M52" s="38"/>
      <c r="N52" s="39" t="s">
        <v>591</v>
      </c>
      <c r="O52" s="40" t="str">
        <f t="shared" si="1"/>
        <v>⬜ Aguardando 3º contato</v>
      </c>
      <c r="P52" s="41" t="str">
        <f t="shared" si="2"/>
        <v/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">
      <c r="A53" s="1"/>
      <c r="B53" s="213"/>
      <c r="C53" s="33">
        <v>1</v>
      </c>
      <c r="D53" s="33">
        <v>1</v>
      </c>
      <c r="E53" s="34">
        <v>2</v>
      </c>
      <c r="F53" s="35" t="s">
        <v>33</v>
      </c>
      <c r="G53" s="34">
        <v>15</v>
      </c>
      <c r="H53" s="34">
        <v>20</v>
      </c>
      <c r="I53" s="36"/>
      <c r="J53" s="37">
        <f t="shared" si="0"/>
        <v>0</v>
      </c>
      <c r="K53" s="38"/>
      <c r="L53" s="38"/>
      <c r="M53" s="38"/>
      <c r="N53" s="39" t="s">
        <v>591</v>
      </c>
      <c r="O53" s="40" t="str">
        <f t="shared" si="1"/>
        <v>⬜ Aguardando 3º contato</v>
      </c>
      <c r="P53" s="41" t="str">
        <f t="shared" si="2"/>
        <v/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213"/>
      <c r="C54" s="33">
        <v>1</v>
      </c>
      <c r="D54" s="33">
        <v>0</v>
      </c>
      <c r="E54" s="34">
        <v>3</v>
      </c>
      <c r="F54" s="35" t="s">
        <v>525</v>
      </c>
      <c r="G54" s="34">
        <v>11</v>
      </c>
      <c r="H54" s="34">
        <v>30</v>
      </c>
      <c r="I54" s="36"/>
      <c r="J54" s="37">
        <f t="shared" si="0"/>
        <v>0</v>
      </c>
      <c r="K54" s="38"/>
      <c r="L54" s="38"/>
      <c r="M54" s="38"/>
      <c r="N54" s="39" t="s">
        <v>591</v>
      </c>
      <c r="O54" s="40" t="str">
        <f t="shared" si="1"/>
        <v>⬜ Aguardando 3º contato</v>
      </c>
      <c r="P54" s="41" t="str">
        <f t="shared" si="2"/>
        <v/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213"/>
      <c r="C55" s="33">
        <v>0</v>
      </c>
      <c r="D55" s="33">
        <v>1</v>
      </c>
      <c r="E55" s="34">
        <v>2</v>
      </c>
      <c r="F55" s="35" t="s">
        <v>526</v>
      </c>
      <c r="G55" s="34">
        <v>18</v>
      </c>
      <c r="H55" s="34">
        <v>20</v>
      </c>
      <c r="I55" s="36"/>
      <c r="J55" s="37">
        <f t="shared" si="0"/>
        <v>0</v>
      </c>
      <c r="K55" s="38"/>
      <c r="L55" s="38"/>
      <c r="M55" s="38"/>
      <c r="N55" s="39" t="s">
        <v>591</v>
      </c>
      <c r="O55" s="40" t="str">
        <f t="shared" si="1"/>
        <v>⬜ Aguardando 3º contato</v>
      </c>
      <c r="P55" s="41" t="str">
        <f t="shared" si="2"/>
        <v/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213"/>
      <c r="C56" s="198">
        <v>1</v>
      </c>
      <c r="D56" s="33">
        <v>0</v>
      </c>
      <c r="E56" s="34">
        <v>2</v>
      </c>
      <c r="F56" s="35" t="s">
        <v>34</v>
      </c>
      <c r="G56" s="34">
        <v>14</v>
      </c>
      <c r="H56" s="34">
        <v>20</v>
      </c>
      <c r="I56" s="36"/>
      <c r="J56" s="37">
        <f t="shared" si="0"/>
        <v>0</v>
      </c>
      <c r="K56" s="38"/>
      <c r="L56" s="38"/>
      <c r="M56" s="38"/>
      <c r="N56" s="39" t="s">
        <v>591</v>
      </c>
      <c r="O56" s="40" t="str">
        <f t="shared" si="1"/>
        <v>⬜ Aguardando 3º contato</v>
      </c>
      <c r="P56" s="41" t="str">
        <f t="shared" si="2"/>
        <v/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214"/>
      <c r="C57" s="199">
        <v>0</v>
      </c>
      <c r="D57" s="33">
        <v>0</v>
      </c>
      <c r="E57" s="34">
        <v>2</v>
      </c>
      <c r="F57" s="35" t="s">
        <v>35</v>
      </c>
      <c r="G57" s="34">
        <v>15</v>
      </c>
      <c r="H57" s="34">
        <v>20</v>
      </c>
      <c r="I57" s="36"/>
      <c r="J57" s="37">
        <f t="shared" si="0"/>
        <v>0</v>
      </c>
      <c r="K57" s="38"/>
      <c r="L57" s="38"/>
      <c r="M57" s="38"/>
      <c r="N57" s="39" t="s">
        <v>588</v>
      </c>
      <c r="O57" s="40" t="str">
        <f t="shared" si="1"/>
        <v>⬜ Aguardando 3º contato</v>
      </c>
      <c r="P57" s="41" t="str">
        <f t="shared" si="2"/>
        <v/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212" t="s">
        <v>36</v>
      </c>
      <c r="C58" s="23">
        <v>6</v>
      </c>
      <c r="D58" s="23">
        <v>0</v>
      </c>
      <c r="E58" s="24">
        <v>3</v>
      </c>
      <c r="F58" s="25" t="s">
        <v>527</v>
      </c>
      <c r="G58" s="24">
        <v>22</v>
      </c>
      <c r="H58" s="24">
        <v>15</v>
      </c>
      <c r="I58" s="26">
        <f>9</f>
        <v>9</v>
      </c>
      <c r="J58" s="27">
        <f t="shared" si="0"/>
        <v>0.6</v>
      </c>
      <c r="K58" s="28">
        <v>46181</v>
      </c>
      <c r="L58" s="28"/>
      <c r="M58" s="28"/>
      <c r="N58" s="29" t="s">
        <v>593</v>
      </c>
      <c r="O58" s="30" t="str">
        <f t="shared" si="1"/>
        <v>⬜ Aguardando 3º contato</v>
      </c>
      <c r="P58" s="32" t="str">
        <f t="shared" si="2"/>
        <v>🚨 CRÍTICO: Alta incidência + baixo aproveitamento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213"/>
      <c r="C59" s="23">
        <v>5</v>
      </c>
      <c r="D59" s="23">
        <v>0</v>
      </c>
      <c r="E59" s="24">
        <v>4</v>
      </c>
      <c r="F59" s="25" t="s">
        <v>528</v>
      </c>
      <c r="G59" s="24">
        <v>32</v>
      </c>
      <c r="H59" s="24">
        <v>40</v>
      </c>
      <c r="I59" s="26"/>
      <c r="J59" s="27">
        <f t="shared" si="0"/>
        <v>0</v>
      </c>
      <c r="K59" s="28"/>
      <c r="L59" s="28"/>
      <c r="M59" s="28"/>
      <c r="N59" s="29" t="s">
        <v>272</v>
      </c>
      <c r="O59" s="30" t="str">
        <f t="shared" si="1"/>
        <v>⬜ Aguardando 3º contato</v>
      </c>
      <c r="P59" s="32" t="str">
        <f t="shared" si="2"/>
        <v/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213"/>
      <c r="C60" s="23">
        <v>2</v>
      </c>
      <c r="D60" s="23">
        <v>5</v>
      </c>
      <c r="E60" s="24">
        <v>4</v>
      </c>
      <c r="F60" s="25" t="s">
        <v>529</v>
      </c>
      <c r="G60" s="24">
        <v>35</v>
      </c>
      <c r="H60" s="24">
        <v>40</v>
      </c>
      <c r="I60" s="26"/>
      <c r="J60" s="27">
        <f t="shared" si="0"/>
        <v>0</v>
      </c>
      <c r="K60" s="28"/>
      <c r="L60" s="28"/>
      <c r="M60" s="28"/>
      <c r="N60" s="29" t="s">
        <v>594</v>
      </c>
      <c r="O60" s="30" t="str">
        <f t="shared" si="1"/>
        <v>⬜ Aguardando 3º contato</v>
      </c>
      <c r="P60" s="32" t="str">
        <f t="shared" si="2"/>
        <v/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213"/>
      <c r="C61" s="23">
        <v>0</v>
      </c>
      <c r="D61" s="23">
        <v>1</v>
      </c>
      <c r="E61" s="24">
        <v>3</v>
      </c>
      <c r="F61" s="25" t="s">
        <v>530</v>
      </c>
      <c r="G61" s="24">
        <v>35</v>
      </c>
      <c r="H61" s="24">
        <v>30</v>
      </c>
      <c r="I61" s="26"/>
      <c r="J61" s="27">
        <f t="shared" si="0"/>
        <v>0</v>
      </c>
      <c r="K61" s="28"/>
      <c r="L61" s="28"/>
      <c r="M61" s="28"/>
      <c r="N61" s="29" t="s">
        <v>591</v>
      </c>
      <c r="O61" s="30" t="str">
        <f t="shared" si="1"/>
        <v>⬜ Aguardando 3º contato</v>
      </c>
      <c r="P61" s="32" t="str">
        <f t="shared" si="2"/>
        <v/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213"/>
      <c r="C62" s="23">
        <v>5</v>
      </c>
      <c r="D62" s="23">
        <v>1</v>
      </c>
      <c r="E62" s="24">
        <v>4</v>
      </c>
      <c r="F62" s="25" t="s">
        <v>531</v>
      </c>
      <c r="G62" s="24">
        <v>27</v>
      </c>
      <c r="H62" s="24">
        <v>15</v>
      </c>
      <c r="I62" s="26">
        <f>9</f>
        <v>9</v>
      </c>
      <c r="J62" s="27">
        <f t="shared" si="0"/>
        <v>0.6</v>
      </c>
      <c r="K62" s="28">
        <v>46181</v>
      </c>
      <c r="L62" s="28"/>
      <c r="M62" s="28"/>
      <c r="N62" s="29" t="s">
        <v>273</v>
      </c>
      <c r="O62" s="30" t="str">
        <f t="shared" si="1"/>
        <v>⬜ Aguardando 3º contato</v>
      </c>
      <c r="P62" s="32" t="str">
        <f t="shared" si="2"/>
        <v>🚨 CRÍTICO: Alta incidência + baixo aproveitamento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213"/>
      <c r="C63" s="253">
        <v>1</v>
      </c>
      <c r="D63" s="23">
        <v>1</v>
      </c>
      <c r="E63" s="24">
        <v>4</v>
      </c>
      <c r="F63" s="25" t="s">
        <v>532</v>
      </c>
      <c r="G63" s="24">
        <v>41</v>
      </c>
      <c r="H63" s="24">
        <v>40</v>
      </c>
      <c r="I63" s="26"/>
      <c r="J63" s="27">
        <f t="shared" si="0"/>
        <v>0</v>
      </c>
      <c r="K63" s="28"/>
      <c r="L63" s="28"/>
      <c r="M63" s="28"/>
      <c r="N63" s="29" t="s">
        <v>342</v>
      </c>
      <c r="O63" s="30" t="str">
        <f t="shared" si="1"/>
        <v>⬜ Aguardando 3º contato</v>
      </c>
      <c r="P63" s="32" t="str">
        <f t="shared" si="2"/>
        <v/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213"/>
      <c r="C64" s="254">
        <v>2</v>
      </c>
      <c r="D64" s="23">
        <v>1</v>
      </c>
      <c r="E64" s="24">
        <v>2</v>
      </c>
      <c r="F64" s="25" t="s">
        <v>510</v>
      </c>
      <c r="G64" s="24">
        <v>4</v>
      </c>
      <c r="H64" s="24">
        <v>20</v>
      </c>
      <c r="I64" s="26"/>
      <c r="J64" s="27">
        <f t="shared" si="0"/>
        <v>0</v>
      </c>
      <c r="K64" s="28"/>
      <c r="L64" s="28"/>
      <c r="M64" s="28"/>
      <c r="N64" s="29" t="s">
        <v>270</v>
      </c>
      <c r="O64" s="30" t="str">
        <f t="shared" si="1"/>
        <v>⬜ Aguardando 3º contato</v>
      </c>
      <c r="P64" s="32" t="str">
        <f t="shared" si="2"/>
        <v/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240"/>
      <c r="C65" s="254">
        <v>1</v>
      </c>
      <c r="D65" s="23">
        <v>0</v>
      </c>
      <c r="E65" s="24"/>
      <c r="F65" s="25" t="s">
        <v>533</v>
      </c>
      <c r="G65" s="24">
        <v>4</v>
      </c>
      <c r="H65" s="24">
        <v>20</v>
      </c>
      <c r="I65" s="26"/>
      <c r="J65" s="27">
        <f t="shared" ref="J65" si="6">IF(OR(I65="",I65=0),0,I65/H65)</f>
        <v>0</v>
      </c>
      <c r="K65" s="28"/>
      <c r="L65" s="28"/>
      <c r="M65" s="28"/>
      <c r="N65" s="29" t="s">
        <v>274</v>
      </c>
      <c r="O65" s="30" t="str">
        <f t="shared" ref="O65" si="7">IF(OR(K65="",L65="",M65=""),"⬜ Aguardando 3º contato",IF(J65=0,"⬜ Sem acertos registrados",IF(J65&gt;0.9,"✅ Rever em "&amp;TEXT(M65+60,"dd/mm/aaaa"),IF(J65&gt;0.8001,"🔵 Rever em "&amp;TEXT(M65+45,"dd/mm/aaaa"),IF(J65&gt;0.7001,"🟡 Rever em "&amp;TEXT(M65+30,"dd/mm/aaaa"),"🔴 Rever em "&amp;TEXT(M65+7,"dd/mm/aaaa"))))))</f>
        <v>⬜ Aguardando 3º contato</v>
      </c>
      <c r="P65" s="32" t="str">
        <f t="shared" ref="P65" si="8">IF(J65=0,"",IF(AND(J65&lt;0.7,MAX(C65,D65)&gt;=4),"🚨 CRÍTICO: Alta incidência + baixo aproveitamento",IF(J65&lt;0.7,"⚠️ Baixo aproveitamento - revisar urgente",IF(AND(J65&lt;0.8,MAX(C65,D65)&gt;=4),"📌 Atenção: Alta incidência",""))))</f>
        <v/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213"/>
      <c r="C66" s="255">
        <v>6</v>
      </c>
      <c r="D66" s="23">
        <v>0</v>
      </c>
      <c r="E66" s="24">
        <v>3</v>
      </c>
      <c r="F66" s="25" t="s">
        <v>276</v>
      </c>
      <c r="G66" s="24">
        <v>24</v>
      </c>
      <c r="H66" s="24">
        <v>30</v>
      </c>
      <c r="I66" s="26"/>
      <c r="J66" s="27">
        <f t="shared" si="0"/>
        <v>0</v>
      </c>
      <c r="K66" s="28"/>
      <c r="L66" s="28"/>
      <c r="M66" s="28"/>
      <c r="N66" s="29" t="s">
        <v>595</v>
      </c>
      <c r="O66" s="30" t="str">
        <f t="shared" si="1"/>
        <v>⬜ Aguardando 3º contato</v>
      </c>
      <c r="P66" s="32" t="str">
        <f t="shared" si="2"/>
        <v/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213"/>
      <c r="C67" s="23">
        <v>1</v>
      </c>
      <c r="D67" s="23">
        <v>2</v>
      </c>
      <c r="E67" s="24">
        <v>3</v>
      </c>
      <c r="F67" s="25" t="s">
        <v>534</v>
      </c>
      <c r="G67" s="24">
        <v>35</v>
      </c>
      <c r="H67" s="24">
        <v>30</v>
      </c>
      <c r="I67" s="26"/>
      <c r="J67" s="27">
        <f t="shared" si="0"/>
        <v>0</v>
      </c>
      <c r="K67" s="28"/>
      <c r="L67" s="28"/>
      <c r="M67" s="28"/>
      <c r="N67" s="29" t="s">
        <v>275</v>
      </c>
      <c r="O67" s="30" t="str">
        <f t="shared" si="1"/>
        <v>⬜ Aguardando 3º contato</v>
      </c>
      <c r="P67" s="32" t="str">
        <f t="shared" si="2"/>
        <v/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213"/>
      <c r="C68" s="23">
        <v>0</v>
      </c>
      <c r="D68" s="23">
        <v>1</v>
      </c>
      <c r="E68" s="24">
        <v>2</v>
      </c>
      <c r="F68" s="25" t="s">
        <v>535</v>
      </c>
      <c r="G68" s="24">
        <v>36</v>
      </c>
      <c r="H68" s="24">
        <v>20</v>
      </c>
      <c r="I68" s="26"/>
      <c r="J68" s="27">
        <f t="shared" si="0"/>
        <v>0</v>
      </c>
      <c r="K68" s="28"/>
      <c r="L68" s="28"/>
      <c r="M68" s="28"/>
      <c r="N68" s="29" t="s">
        <v>341</v>
      </c>
      <c r="O68" s="30" t="str">
        <f t="shared" si="1"/>
        <v>⬜ Aguardando 3º contato</v>
      </c>
      <c r="P68" s="32" t="str">
        <f t="shared" si="2"/>
        <v/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213"/>
      <c r="C69" s="23">
        <v>0</v>
      </c>
      <c r="D69" s="23">
        <v>0</v>
      </c>
      <c r="E69" s="24">
        <v>1</v>
      </c>
      <c r="F69" s="25" t="s">
        <v>536</v>
      </c>
      <c r="G69" s="24">
        <v>21</v>
      </c>
      <c r="H69" s="24">
        <v>10</v>
      </c>
      <c r="I69" s="26"/>
      <c r="J69" s="27">
        <f t="shared" si="0"/>
        <v>0</v>
      </c>
      <c r="K69" s="28"/>
      <c r="L69" s="28"/>
      <c r="M69" s="28"/>
      <c r="N69" s="29" t="s">
        <v>588</v>
      </c>
      <c r="O69" s="30" t="str">
        <f t="shared" si="1"/>
        <v>⬜ Aguardando 3º contato</v>
      </c>
      <c r="P69" s="32" t="str">
        <f t="shared" si="2"/>
        <v/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213"/>
      <c r="C70" s="23">
        <v>0</v>
      </c>
      <c r="D70" s="23">
        <v>0</v>
      </c>
      <c r="E70" s="24">
        <v>1</v>
      </c>
      <c r="F70" s="25" t="s">
        <v>537</v>
      </c>
      <c r="G70" s="24">
        <v>24</v>
      </c>
      <c r="H70" s="24">
        <v>10</v>
      </c>
      <c r="I70" s="26"/>
      <c r="J70" s="27">
        <f t="shared" si="0"/>
        <v>0</v>
      </c>
      <c r="K70" s="28"/>
      <c r="L70" s="28"/>
      <c r="M70" s="28"/>
      <c r="N70" s="29" t="s">
        <v>588</v>
      </c>
      <c r="O70" s="30" t="str">
        <f t="shared" si="1"/>
        <v>⬜ Aguardando 3º contato</v>
      </c>
      <c r="P70" s="32" t="str">
        <f t="shared" si="2"/>
        <v/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213"/>
      <c r="C71" s="23">
        <v>0</v>
      </c>
      <c r="D71" s="23">
        <v>0</v>
      </c>
      <c r="E71" s="24">
        <v>1</v>
      </c>
      <c r="F71" s="25" t="s">
        <v>538</v>
      </c>
      <c r="G71" s="24">
        <v>19</v>
      </c>
      <c r="H71" s="24">
        <v>10</v>
      </c>
      <c r="I71" s="26"/>
      <c r="J71" s="27">
        <f t="shared" si="0"/>
        <v>0</v>
      </c>
      <c r="K71" s="28"/>
      <c r="L71" s="28"/>
      <c r="M71" s="28"/>
      <c r="N71" s="29" t="s">
        <v>588</v>
      </c>
      <c r="O71" s="30" t="str">
        <f t="shared" si="1"/>
        <v>⬜ Aguardando 3º contato</v>
      </c>
      <c r="P71" s="32" t="str">
        <f t="shared" si="2"/>
        <v/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213"/>
      <c r="C72" s="23">
        <v>0</v>
      </c>
      <c r="D72" s="23">
        <v>0</v>
      </c>
      <c r="E72" s="24">
        <v>1</v>
      </c>
      <c r="F72" s="25" t="s">
        <v>37</v>
      </c>
      <c r="G72" s="24">
        <v>16</v>
      </c>
      <c r="H72" s="24">
        <v>10</v>
      </c>
      <c r="I72" s="26"/>
      <c r="J72" s="27">
        <f t="shared" si="0"/>
        <v>0</v>
      </c>
      <c r="K72" s="28"/>
      <c r="L72" s="28"/>
      <c r="M72" s="28"/>
      <c r="N72" s="29" t="s">
        <v>588</v>
      </c>
      <c r="O72" s="30" t="str">
        <f t="shared" si="1"/>
        <v>⬜ Aguardando 3º contato</v>
      </c>
      <c r="P72" s="32" t="str">
        <f t="shared" si="2"/>
        <v/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214"/>
      <c r="C73" s="23">
        <v>0</v>
      </c>
      <c r="D73" s="23">
        <v>0</v>
      </c>
      <c r="E73" s="24">
        <v>1</v>
      </c>
      <c r="F73" s="25" t="s">
        <v>38</v>
      </c>
      <c r="G73" s="24">
        <v>9</v>
      </c>
      <c r="H73" s="24">
        <v>10</v>
      </c>
      <c r="I73" s="26"/>
      <c r="J73" s="27">
        <f t="shared" si="0"/>
        <v>0</v>
      </c>
      <c r="K73" s="28"/>
      <c r="L73" s="28"/>
      <c r="M73" s="28"/>
      <c r="N73" s="29" t="s">
        <v>588</v>
      </c>
      <c r="O73" s="30" t="str">
        <f t="shared" si="1"/>
        <v>⬜ Aguardando 3º contato</v>
      </c>
      <c r="P73" s="32" t="str">
        <f t="shared" si="2"/>
        <v/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215" t="s">
        <v>39</v>
      </c>
      <c r="C74" s="33">
        <v>0</v>
      </c>
      <c r="D74" s="33">
        <v>0</v>
      </c>
      <c r="E74" s="34">
        <v>2</v>
      </c>
      <c r="F74" s="35" t="s">
        <v>539</v>
      </c>
      <c r="G74" s="34">
        <v>10</v>
      </c>
      <c r="H74" s="34">
        <v>20</v>
      </c>
      <c r="I74" s="36"/>
      <c r="J74" s="37">
        <f t="shared" si="0"/>
        <v>0</v>
      </c>
      <c r="K74" s="38"/>
      <c r="L74" s="38"/>
      <c r="M74" s="38"/>
      <c r="N74" s="39" t="s">
        <v>588</v>
      </c>
      <c r="O74" s="40" t="str">
        <f t="shared" si="1"/>
        <v>⬜ Aguardando 3º contato</v>
      </c>
      <c r="P74" s="41" t="str">
        <f t="shared" si="2"/>
        <v/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213"/>
      <c r="C75" s="33">
        <v>0</v>
      </c>
      <c r="D75" s="33">
        <v>0</v>
      </c>
      <c r="E75" s="34">
        <v>2</v>
      </c>
      <c r="F75" s="35" t="s">
        <v>40</v>
      </c>
      <c r="G75" s="34">
        <v>20</v>
      </c>
      <c r="H75" s="34">
        <v>20</v>
      </c>
      <c r="I75" s="36"/>
      <c r="J75" s="37">
        <f t="shared" si="0"/>
        <v>0</v>
      </c>
      <c r="K75" s="38"/>
      <c r="L75" s="38"/>
      <c r="M75" s="38"/>
      <c r="N75" s="39" t="s">
        <v>588</v>
      </c>
      <c r="O75" s="40" t="str">
        <f t="shared" si="1"/>
        <v>⬜ Aguardando 3º contato</v>
      </c>
      <c r="P75" s="41" t="str">
        <f t="shared" si="2"/>
        <v/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213"/>
      <c r="C76" s="33">
        <v>1</v>
      </c>
      <c r="D76" s="33">
        <v>4</v>
      </c>
      <c r="E76" s="34">
        <v>3</v>
      </c>
      <c r="F76" s="35" t="s">
        <v>41</v>
      </c>
      <c r="G76" s="34">
        <v>18</v>
      </c>
      <c r="H76" s="34">
        <v>30</v>
      </c>
      <c r="I76" s="36"/>
      <c r="J76" s="37">
        <f t="shared" si="0"/>
        <v>0</v>
      </c>
      <c r="K76" s="38"/>
      <c r="L76" s="38"/>
      <c r="M76" s="38"/>
      <c r="N76" s="39" t="s">
        <v>588</v>
      </c>
      <c r="O76" s="40" t="str">
        <f t="shared" si="1"/>
        <v>⬜ Aguardando 3º contato</v>
      </c>
      <c r="P76" s="41" t="str">
        <f t="shared" si="2"/>
        <v/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213"/>
      <c r="C77" s="33">
        <v>0</v>
      </c>
      <c r="D77" s="33">
        <v>3</v>
      </c>
      <c r="E77" s="34">
        <v>3</v>
      </c>
      <c r="F77" s="35" t="s">
        <v>540</v>
      </c>
      <c r="G77" s="34">
        <v>20</v>
      </c>
      <c r="H77" s="34">
        <v>30</v>
      </c>
      <c r="I77" s="36"/>
      <c r="J77" s="37">
        <f t="shared" si="0"/>
        <v>0</v>
      </c>
      <c r="K77" s="38"/>
      <c r="L77" s="38"/>
      <c r="M77" s="38"/>
      <c r="N77" s="39" t="s">
        <v>591</v>
      </c>
      <c r="O77" s="40" t="str">
        <f t="shared" si="1"/>
        <v>⬜ Aguardando 3º contato</v>
      </c>
      <c r="P77" s="41" t="str">
        <f t="shared" si="2"/>
        <v/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213"/>
      <c r="C78" s="256">
        <v>0</v>
      </c>
      <c r="D78" s="242">
        <v>0</v>
      </c>
      <c r="E78" s="34">
        <v>3</v>
      </c>
      <c r="F78" s="35" t="s">
        <v>541</v>
      </c>
      <c r="G78" s="34">
        <v>28</v>
      </c>
      <c r="H78" s="34">
        <v>30</v>
      </c>
      <c r="I78" s="36"/>
      <c r="J78" s="37">
        <f t="shared" si="0"/>
        <v>0</v>
      </c>
      <c r="K78" s="38"/>
      <c r="L78" s="38"/>
      <c r="M78" s="38"/>
      <c r="N78" s="39" t="s">
        <v>588</v>
      </c>
      <c r="O78" s="40" t="str">
        <f t="shared" si="1"/>
        <v>⬜ Aguardando 3º contato</v>
      </c>
      <c r="P78" s="41" t="str">
        <f t="shared" si="2"/>
        <v/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213"/>
      <c r="C79" s="254">
        <v>0</v>
      </c>
      <c r="D79" s="257">
        <v>0</v>
      </c>
      <c r="E79" s="34">
        <v>2</v>
      </c>
      <c r="F79" s="35" t="s">
        <v>42</v>
      </c>
      <c r="G79" s="34">
        <v>15</v>
      </c>
      <c r="H79" s="34">
        <v>20</v>
      </c>
      <c r="I79" s="36"/>
      <c r="J79" s="37">
        <f t="shared" si="0"/>
        <v>0</v>
      </c>
      <c r="K79" s="38"/>
      <c r="L79" s="38"/>
      <c r="M79" s="38"/>
      <c r="N79" s="39" t="s">
        <v>588</v>
      </c>
      <c r="O79" s="40" t="str">
        <f t="shared" si="1"/>
        <v>⬜ Aguardando 3º contato</v>
      </c>
      <c r="P79" s="41" t="str">
        <f t="shared" si="2"/>
        <v/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213"/>
      <c r="C80" s="255">
        <v>1</v>
      </c>
      <c r="D80" s="258">
        <v>0</v>
      </c>
      <c r="E80" s="34">
        <v>2</v>
      </c>
      <c r="F80" s="35" t="s">
        <v>43</v>
      </c>
      <c r="G80" s="34">
        <v>12</v>
      </c>
      <c r="H80" s="34">
        <v>20</v>
      </c>
      <c r="I80" s="36"/>
      <c r="J80" s="37">
        <f t="shared" si="0"/>
        <v>0</v>
      </c>
      <c r="K80" s="38"/>
      <c r="L80" s="38"/>
      <c r="M80" s="38"/>
      <c r="N80" s="39" t="s">
        <v>588</v>
      </c>
      <c r="O80" s="40" t="str">
        <f t="shared" si="1"/>
        <v>⬜ Aguardando 3º contato</v>
      </c>
      <c r="P80" s="41" t="str">
        <f t="shared" si="2"/>
        <v/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213"/>
      <c r="C81" s="33">
        <v>0</v>
      </c>
      <c r="D81" s="33">
        <v>0</v>
      </c>
      <c r="E81" s="34">
        <v>1</v>
      </c>
      <c r="F81" s="35" t="s">
        <v>510</v>
      </c>
      <c r="G81" s="34">
        <v>9</v>
      </c>
      <c r="H81" s="34">
        <v>20</v>
      </c>
      <c r="I81" s="36"/>
      <c r="J81" s="37">
        <f t="shared" si="0"/>
        <v>0</v>
      </c>
      <c r="K81" s="38"/>
      <c r="L81" s="38"/>
      <c r="M81" s="38"/>
      <c r="N81" s="39" t="s">
        <v>588</v>
      </c>
      <c r="O81" s="40" t="str">
        <f t="shared" si="1"/>
        <v>⬜ Aguardando 3º contato</v>
      </c>
      <c r="P81" s="41" t="str">
        <f t="shared" si="2"/>
        <v/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213"/>
      <c r="C82" s="33">
        <v>0</v>
      </c>
      <c r="D82" s="33">
        <v>0</v>
      </c>
      <c r="E82" s="34">
        <v>1</v>
      </c>
      <c r="F82" s="35" t="s">
        <v>542</v>
      </c>
      <c r="G82" s="34">
        <v>15</v>
      </c>
      <c r="H82" s="34">
        <v>10</v>
      </c>
      <c r="I82" s="36"/>
      <c r="J82" s="37">
        <f t="shared" si="0"/>
        <v>0</v>
      </c>
      <c r="K82" s="38"/>
      <c r="L82" s="38"/>
      <c r="M82" s="38"/>
      <c r="N82" s="39" t="s">
        <v>588</v>
      </c>
      <c r="O82" s="40" t="str">
        <f t="shared" si="1"/>
        <v>⬜ Aguardando 3º contato</v>
      </c>
      <c r="P82" s="41" t="str">
        <f t="shared" si="2"/>
        <v/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213"/>
      <c r="C83" s="33">
        <v>0</v>
      </c>
      <c r="D83" s="33">
        <v>0</v>
      </c>
      <c r="E83" s="34">
        <v>1</v>
      </c>
      <c r="F83" s="35" t="s">
        <v>543</v>
      </c>
      <c r="G83" s="34">
        <v>16</v>
      </c>
      <c r="H83" s="34">
        <v>10</v>
      </c>
      <c r="I83" s="36"/>
      <c r="J83" s="37">
        <f t="shared" si="0"/>
        <v>0</v>
      </c>
      <c r="K83" s="38"/>
      <c r="L83" s="38"/>
      <c r="M83" s="38"/>
      <c r="N83" s="39" t="s">
        <v>588</v>
      </c>
      <c r="O83" s="40" t="str">
        <f t="shared" si="1"/>
        <v>⬜ Aguardando 3º contato</v>
      </c>
      <c r="P83" s="41" t="str">
        <f t="shared" si="2"/>
        <v/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214"/>
      <c r="C84" s="33">
        <v>0</v>
      </c>
      <c r="D84" s="33">
        <v>0</v>
      </c>
      <c r="E84" s="34">
        <v>1</v>
      </c>
      <c r="F84" s="35" t="s">
        <v>44</v>
      </c>
      <c r="G84" s="34">
        <v>8</v>
      </c>
      <c r="H84" s="34">
        <v>10</v>
      </c>
      <c r="I84" s="36"/>
      <c r="J84" s="37">
        <f t="shared" si="0"/>
        <v>0</v>
      </c>
      <c r="K84" s="38"/>
      <c r="L84" s="38"/>
      <c r="M84" s="38"/>
      <c r="N84" s="39" t="s">
        <v>588</v>
      </c>
      <c r="O84" s="40" t="str">
        <f t="shared" si="1"/>
        <v>⬜ Aguardando 3º contato</v>
      </c>
      <c r="P84" s="41" t="str">
        <f t="shared" si="2"/>
        <v/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212" t="s">
        <v>45</v>
      </c>
      <c r="C85" s="42">
        <v>1</v>
      </c>
      <c r="D85" s="42">
        <v>1</v>
      </c>
      <c r="E85" s="24">
        <v>3</v>
      </c>
      <c r="F85" s="25" t="s">
        <v>46</v>
      </c>
      <c r="G85" s="24">
        <v>24</v>
      </c>
      <c r="H85" s="24">
        <v>30</v>
      </c>
      <c r="I85" s="26"/>
      <c r="J85" s="27">
        <f t="shared" si="0"/>
        <v>0</v>
      </c>
      <c r="K85" s="28"/>
      <c r="L85" s="28"/>
      <c r="M85" s="28"/>
      <c r="N85" s="29" t="s">
        <v>591</v>
      </c>
      <c r="O85" s="30" t="str">
        <f t="shared" si="1"/>
        <v>⬜ Aguardando 3º contato</v>
      </c>
      <c r="P85" s="32" t="str">
        <f t="shared" si="2"/>
        <v/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213"/>
      <c r="C86" s="42">
        <v>1</v>
      </c>
      <c r="D86" s="42">
        <v>0</v>
      </c>
      <c r="E86" s="24">
        <v>5</v>
      </c>
      <c r="F86" s="25" t="s">
        <v>544</v>
      </c>
      <c r="G86" s="24">
        <v>47</v>
      </c>
      <c r="H86" s="24">
        <v>50</v>
      </c>
      <c r="I86" s="26"/>
      <c r="J86" s="27">
        <f t="shared" si="0"/>
        <v>0</v>
      </c>
      <c r="K86" s="28"/>
      <c r="L86" s="28"/>
      <c r="M86" s="28"/>
      <c r="N86" s="29" t="s">
        <v>261</v>
      </c>
      <c r="O86" s="30" t="str">
        <f t="shared" si="1"/>
        <v>⬜ Aguardando 3º contato</v>
      </c>
      <c r="P86" s="32" t="str">
        <f t="shared" si="2"/>
        <v/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213"/>
      <c r="C87" s="42">
        <v>2</v>
      </c>
      <c r="D87" s="42">
        <v>1</v>
      </c>
      <c r="E87" s="24">
        <v>4</v>
      </c>
      <c r="F87" s="25" t="s">
        <v>545</v>
      </c>
      <c r="G87" s="24">
        <v>53</v>
      </c>
      <c r="H87" s="24">
        <v>40</v>
      </c>
      <c r="I87" s="26"/>
      <c r="J87" s="27">
        <f t="shared" si="0"/>
        <v>0</v>
      </c>
      <c r="K87" s="28"/>
      <c r="L87" s="28"/>
      <c r="M87" s="28"/>
      <c r="N87" s="29" t="s">
        <v>591</v>
      </c>
      <c r="O87" s="30" t="str">
        <f t="shared" si="1"/>
        <v>⬜ Aguardando 3º contato</v>
      </c>
      <c r="P87" s="32" t="str">
        <f t="shared" si="2"/>
        <v/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213"/>
      <c r="C88" s="42">
        <v>1</v>
      </c>
      <c r="D88" s="42">
        <v>0</v>
      </c>
      <c r="E88" s="24">
        <v>4</v>
      </c>
      <c r="F88" s="25" t="s">
        <v>546</v>
      </c>
      <c r="G88" s="24">
        <v>62</v>
      </c>
      <c r="H88" s="24">
        <v>20</v>
      </c>
      <c r="I88" s="26"/>
      <c r="J88" s="27">
        <f t="shared" si="0"/>
        <v>0</v>
      </c>
      <c r="K88" s="28"/>
      <c r="L88" s="28"/>
      <c r="M88" s="28"/>
      <c r="N88" s="29" t="s">
        <v>258</v>
      </c>
      <c r="O88" s="30" t="str">
        <f t="shared" si="1"/>
        <v>⬜ Aguardando 3º contato</v>
      </c>
      <c r="P88" s="32" t="str">
        <f t="shared" si="2"/>
        <v/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213"/>
      <c r="C89" s="42">
        <v>1</v>
      </c>
      <c r="D89" s="42">
        <v>4</v>
      </c>
      <c r="E89" s="24">
        <v>3</v>
      </c>
      <c r="F89" s="25" t="s">
        <v>547</v>
      </c>
      <c r="G89" s="24">
        <v>37</v>
      </c>
      <c r="H89" s="24">
        <v>30</v>
      </c>
      <c r="I89" s="26"/>
      <c r="J89" s="27">
        <f t="shared" si="0"/>
        <v>0</v>
      </c>
      <c r="K89" s="28"/>
      <c r="L89" s="28"/>
      <c r="M89" s="28"/>
      <c r="N89" s="29" t="s">
        <v>596</v>
      </c>
      <c r="O89" s="30" t="str">
        <f t="shared" si="1"/>
        <v>⬜ Aguardando 3º contato</v>
      </c>
      <c r="P89" s="32" t="str">
        <f t="shared" si="2"/>
        <v/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213"/>
      <c r="C90" s="198">
        <v>2</v>
      </c>
      <c r="D90" s="42">
        <v>0</v>
      </c>
      <c r="E90" s="24">
        <v>2</v>
      </c>
      <c r="F90" s="25" t="s">
        <v>548</v>
      </c>
      <c r="G90" s="24">
        <v>41</v>
      </c>
      <c r="H90" s="24">
        <v>20</v>
      </c>
      <c r="I90" s="26"/>
      <c r="J90" s="27">
        <f t="shared" si="0"/>
        <v>0</v>
      </c>
      <c r="K90" s="28"/>
      <c r="L90" s="28"/>
      <c r="M90" s="28"/>
      <c r="N90" s="29" t="s">
        <v>259</v>
      </c>
      <c r="O90" s="30" t="str">
        <f t="shared" si="1"/>
        <v>⬜ Aguardando 3º contato</v>
      </c>
      <c r="P90" s="32" t="str">
        <f t="shared" si="2"/>
        <v/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213"/>
      <c r="C91" s="42">
        <v>0</v>
      </c>
      <c r="D91" s="42">
        <v>0</v>
      </c>
      <c r="E91" s="24">
        <v>2</v>
      </c>
      <c r="F91" s="25" t="s">
        <v>47</v>
      </c>
      <c r="G91" s="24">
        <v>16</v>
      </c>
      <c r="H91" s="24">
        <v>20</v>
      </c>
      <c r="I91" s="26"/>
      <c r="J91" s="27">
        <f t="shared" si="0"/>
        <v>0</v>
      </c>
      <c r="K91" s="28"/>
      <c r="L91" s="28"/>
      <c r="M91" s="28"/>
      <c r="N91" s="29" t="s">
        <v>588</v>
      </c>
      <c r="O91" s="30" t="str">
        <f t="shared" si="1"/>
        <v>⬜ Aguardando 3º contato</v>
      </c>
      <c r="P91" s="32" t="str">
        <f t="shared" si="2"/>
        <v/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213"/>
      <c r="C92" s="42">
        <v>1</v>
      </c>
      <c r="D92" s="42">
        <v>1</v>
      </c>
      <c r="E92" s="24">
        <v>2</v>
      </c>
      <c r="F92" s="25" t="s">
        <v>48</v>
      </c>
      <c r="G92" s="24">
        <v>17</v>
      </c>
      <c r="H92" s="24">
        <v>20</v>
      </c>
      <c r="I92" s="26"/>
      <c r="J92" s="27">
        <f t="shared" si="0"/>
        <v>0</v>
      </c>
      <c r="K92" s="28"/>
      <c r="L92" s="28"/>
      <c r="M92" s="28"/>
      <c r="N92" s="29" t="s">
        <v>591</v>
      </c>
      <c r="O92" s="30" t="str">
        <f t="shared" si="1"/>
        <v>⬜ Aguardando 3º contato</v>
      </c>
      <c r="P92" s="32" t="str">
        <f t="shared" si="2"/>
        <v/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213"/>
      <c r="C93" s="42">
        <v>4</v>
      </c>
      <c r="D93" s="42">
        <v>2</v>
      </c>
      <c r="E93" s="24">
        <v>3</v>
      </c>
      <c r="F93" s="25" t="s">
        <v>49</v>
      </c>
      <c r="G93" s="24">
        <v>25</v>
      </c>
      <c r="H93" s="24">
        <v>15</v>
      </c>
      <c r="I93" s="26">
        <f>9</f>
        <v>9</v>
      </c>
      <c r="J93" s="27">
        <f t="shared" si="0"/>
        <v>0.6</v>
      </c>
      <c r="K93" s="28">
        <v>46168</v>
      </c>
      <c r="L93" s="28"/>
      <c r="M93" s="28"/>
      <c r="N93" s="29" t="s">
        <v>260</v>
      </c>
      <c r="O93" s="30" t="str">
        <f t="shared" si="1"/>
        <v>⬜ Aguardando 3º contato</v>
      </c>
      <c r="P93" s="32" t="str">
        <f t="shared" si="2"/>
        <v>🚨 CRÍTICO: Alta incidência + baixo aproveitamento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213"/>
      <c r="C94" s="42">
        <v>0</v>
      </c>
      <c r="D94" s="42">
        <v>0</v>
      </c>
      <c r="E94" s="24">
        <v>2</v>
      </c>
      <c r="F94" s="25" t="s">
        <v>50</v>
      </c>
      <c r="G94" s="24">
        <v>9</v>
      </c>
      <c r="H94" s="24">
        <v>20</v>
      </c>
      <c r="I94" s="26"/>
      <c r="J94" s="27">
        <f t="shared" si="0"/>
        <v>0</v>
      </c>
      <c r="K94" s="28"/>
      <c r="L94" s="28"/>
      <c r="M94" s="28"/>
      <c r="N94" s="29" t="s">
        <v>588</v>
      </c>
      <c r="O94" s="30" t="str">
        <f t="shared" si="1"/>
        <v>⬜ Aguardando 3º contato</v>
      </c>
      <c r="P94" s="32" t="str">
        <f t="shared" si="2"/>
        <v/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213"/>
      <c r="C95" s="42">
        <v>0</v>
      </c>
      <c r="D95" s="42">
        <v>0</v>
      </c>
      <c r="E95" s="24">
        <v>2</v>
      </c>
      <c r="F95" s="25" t="s">
        <v>51</v>
      </c>
      <c r="G95" s="24">
        <v>10</v>
      </c>
      <c r="H95" s="24">
        <v>20</v>
      </c>
      <c r="I95" s="26"/>
      <c r="J95" s="27">
        <f t="shared" si="0"/>
        <v>0</v>
      </c>
      <c r="K95" s="28"/>
      <c r="L95" s="28"/>
      <c r="M95" s="28"/>
      <c r="N95" s="29" t="s">
        <v>588</v>
      </c>
      <c r="O95" s="30" t="str">
        <f t="shared" si="1"/>
        <v>⬜ Aguardando 3º contato</v>
      </c>
      <c r="P95" s="32" t="str">
        <f t="shared" si="2"/>
        <v/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213"/>
      <c r="C96" s="42">
        <v>0</v>
      </c>
      <c r="D96" s="42">
        <v>0</v>
      </c>
      <c r="E96" s="24">
        <v>1</v>
      </c>
      <c r="F96" s="25" t="s">
        <v>510</v>
      </c>
      <c r="G96" s="24">
        <v>12</v>
      </c>
      <c r="H96" s="24">
        <v>20</v>
      </c>
      <c r="I96" s="26"/>
      <c r="J96" s="27">
        <f t="shared" si="0"/>
        <v>0</v>
      </c>
      <c r="K96" s="28"/>
      <c r="L96" s="28"/>
      <c r="M96" s="28"/>
      <c r="N96" s="29" t="s">
        <v>588</v>
      </c>
      <c r="O96" s="30" t="str">
        <f t="shared" si="1"/>
        <v>⬜ Aguardando 3º contato</v>
      </c>
      <c r="P96" s="32" t="str">
        <f t="shared" si="2"/>
        <v/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213"/>
      <c r="C97" s="42">
        <v>0</v>
      </c>
      <c r="D97" s="42">
        <v>0</v>
      </c>
      <c r="E97" s="24">
        <v>1</v>
      </c>
      <c r="F97" s="25" t="s">
        <v>549</v>
      </c>
      <c r="G97" s="24">
        <v>9</v>
      </c>
      <c r="H97" s="24">
        <v>10</v>
      </c>
      <c r="I97" s="26"/>
      <c r="J97" s="27">
        <f t="shared" si="0"/>
        <v>0</v>
      </c>
      <c r="K97" s="28"/>
      <c r="L97" s="28"/>
      <c r="M97" s="28"/>
      <c r="N97" s="29" t="s">
        <v>588</v>
      </c>
      <c r="O97" s="30" t="str">
        <f t="shared" si="1"/>
        <v>⬜ Aguardando 3º contato</v>
      </c>
      <c r="P97" s="32" t="str">
        <f t="shared" si="2"/>
        <v/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216"/>
      <c r="C98" s="42">
        <v>0</v>
      </c>
      <c r="D98" s="42">
        <v>0</v>
      </c>
      <c r="E98" s="43">
        <v>1</v>
      </c>
      <c r="F98" s="249" t="s">
        <v>550</v>
      </c>
      <c r="G98" s="43">
        <v>10</v>
      </c>
      <c r="H98" s="43">
        <v>10</v>
      </c>
      <c r="I98" s="26"/>
      <c r="J98" s="27">
        <f t="shared" si="0"/>
        <v>0</v>
      </c>
      <c r="K98" s="28"/>
      <c r="L98" s="28"/>
      <c r="M98" s="28"/>
      <c r="N98" s="29" t="s">
        <v>588</v>
      </c>
      <c r="O98" s="30" t="str">
        <f t="shared" si="1"/>
        <v>⬜ Aguardando 3º contato</v>
      </c>
      <c r="P98" s="32" t="str">
        <f t="shared" si="2"/>
        <v/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226" t="s">
        <v>52</v>
      </c>
      <c r="C99" s="35">
        <v>4</v>
      </c>
      <c r="D99" s="35">
        <v>4</v>
      </c>
      <c r="E99" s="34">
        <v>5</v>
      </c>
      <c r="F99" s="35" t="s">
        <v>551</v>
      </c>
      <c r="G99" s="34">
        <v>31</v>
      </c>
      <c r="H99" s="44">
        <v>15</v>
      </c>
      <c r="I99" s="36">
        <v>12</v>
      </c>
      <c r="J99" s="37">
        <f t="shared" si="0"/>
        <v>0.8</v>
      </c>
      <c r="K99" s="45">
        <v>46042</v>
      </c>
      <c r="L99" s="45">
        <v>46077</v>
      </c>
      <c r="M99" s="45"/>
      <c r="N99" s="39" t="s">
        <v>636</v>
      </c>
      <c r="O99" s="40" t="str">
        <f t="shared" si="1"/>
        <v>⬜ Aguardando 3º contato</v>
      </c>
      <c r="P99" s="41" t="str">
        <f t="shared" si="2"/>
        <v/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224"/>
      <c r="C100" s="250">
        <v>2</v>
      </c>
      <c r="D100" s="250">
        <v>3</v>
      </c>
      <c r="E100" s="34">
        <v>4</v>
      </c>
      <c r="F100" s="35" t="s">
        <v>53</v>
      </c>
      <c r="G100" s="34">
        <v>34</v>
      </c>
      <c r="H100" s="44">
        <v>15</v>
      </c>
      <c r="I100" s="36">
        <v>8</v>
      </c>
      <c r="J100" s="37">
        <f t="shared" si="0"/>
        <v>0.53333333333333333</v>
      </c>
      <c r="K100" s="45">
        <v>46057</v>
      </c>
      <c r="L100" s="45">
        <v>46073</v>
      </c>
      <c r="M100" s="45"/>
      <c r="N100" s="39" t="s">
        <v>294</v>
      </c>
      <c r="O100" s="40" t="str">
        <f t="shared" si="1"/>
        <v>⬜ Aguardando 3º contato</v>
      </c>
      <c r="P100" s="41" t="str">
        <f t="shared" si="2"/>
        <v>⚠️ Baixo aproveitamento - revisar urgente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224"/>
      <c r="C101" s="251">
        <v>1</v>
      </c>
      <c r="D101" s="251">
        <v>1</v>
      </c>
      <c r="E101" s="34">
        <v>3</v>
      </c>
      <c r="F101" s="35" t="s">
        <v>552</v>
      </c>
      <c r="G101" s="34">
        <v>51</v>
      </c>
      <c r="H101" s="44">
        <v>30</v>
      </c>
      <c r="I101" s="36"/>
      <c r="J101" s="37">
        <f t="shared" si="0"/>
        <v>0</v>
      </c>
      <c r="K101" s="45"/>
      <c r="L101" s="45"/>
      <c r="M101" s="45"/>
      <c r="N101" s="39" t="s">
        <v>637</v>
      </c>
      <c r="O101" s="40" t="str">
        <f t="shared" si="1"/>
        <v>⬜ Aguardando 3º contato</v>
      </c>
      <c r="P101" s="41" t="str">
        <f t="shared" si="2"/>
        <v/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224"/>
      <c r="C102" s="34">
        <v>2</v>
      </c>
      <c r="D102" s="34">
        <v>2</v>
      </c>
      <c r="E102" s="34">
        <v>3</v>
      </c>
      <c r="F102" s="35" t="s">
        <v>54</v>
      </c>
      <c r="G102" s="34">
        <v>34</v>
      </c>
      <c r="H102" s="44">
        <v>21</v>
      </c>
      <c r="I102" s="36">
        <v>16</v>
      </c>
      <c r="J102" s="37">
        <f t="shared" si="0"/>
        <v>0.76190476190476186</v>
      </c>
      <c r="K102" s="45">
        <v>46088</v>
      </c>
      <c r="L102" s="45">
        <v>46129</v>
      </c>
      <c r="M102" s="45"/>
      <c r="N102" s="39" t="s">
        <v>351</v>
      </c>
      <c r="O102" s="40" t="str">
        <f t="shared" si="1"/>
        <v>⬜ Aguardando 3º contato</v>
      </c>
      <c r="P102" s="41" t="str">
        <f t="shared" si="2"/>
        <v/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224"/>
      <c r="C103" s="34">
        <v>0</v>
      </c>
      <c r="D103" s="34">
        <v>0</v>
      </c>
      <c r="E103" s="34">
        <v>1</v>
      </c>
      <c r="F103" s="35" t="s">
        <v>55</v>
      </c>
      <c r="G103" s="34">
        <v>34</v>
      </c>
      <c r="H103" s="44">
        <v>10</v>
      </c>
      <c r="I103" s="36"/>
      <c r="J103" s="37">
        <f t="shared" si="0"/>
        <v>0</v>
      </c>
      <c r="K103" s="45"/>
      <c r="L103" s="45"/>
      <c r="M103" s="45"/>
      <c r="N103" s="39" t="s">
        <v>588</v>
      </c>
      <c r="O103" s="40" t="str">
        <f t="shared" si="1"/>
        <v>⬜ Aguardando 3º contato</v>
      </c>
      <c r="P103" s="41" t="str">
        <f t="shared" si="2"/>
        <v/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224"/>
      <c r="C104" s="34">
        <v>2</v>
      </c>
      <c r="D104" s="34">
        <v>3</v>
      </c>
      <c r="E104" s="34">
        <v>3</v>
      </c>
      <c r="F104" s="35" t="s">
        <v>553</v>
      </c>
      <c r="G104" s="34">
        <v>25</v>
      </c>
      <c r="H104" s="44">
        <v>30</v>
      </c>
      <c r="I104" s="36"/>
      <c r="J104" s="37">
        <f t="shared" si="0"/>
        <v>0</v>
      </c>
      <c r="K104" s="45"/>
      <c r="L104" s="45"/>
      <c r="M104" s="45"/>
      <c r="N104" s="39" t="s">
        <v>295</v>
      </c>
      <c r="O104" s="40" t="str">
        <f t="shared" si="1"/>
        <v>⬜ Aguardando 3º contato</v>
      </c>
      <c r="P104" s="41" t="str">
        <f t="shared" si="2"/>
        <v/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224"/>
      <c r="C105" s="34">
        <v>1</v>
      </c>
      <c r="D105" s="34">
        <v>2</v>
      </c>
      <c r="E105" s="34">
        <v>4</v>
      </c>
      <c r="F105" s="35" t="s">
        <v>554</v>
      </c>
      <c r="G105" s="34">
        <v>69</v>
      </c>
      <c r="H105" s="44">
        <v>40</v>
      </c>
      <c r="I105" s="36"/>
      <c r="J105" s="37">
        <f t="shared" si="0"/>
        <v>0</v>
      </c>
      <c r="K105" s="45"/>
      <c r="L105" s="45"/>
      <c r="M105" s="45"/>
      <c r="N105" s="39" t="s">
        <v>293</v>
      </c>
      <c r="O105" s="40" t="str">
        <f t="shared" si="1"/>
        <v>⬜ Aguardando 3º contato</v>
      </c>
      <c r="P105" s="41" t="str">
        <f t="shared" si="2"/>
        <v/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224"/>
      <c r="C106" s="34">
        <v>2</v>
      </c>
      <c r="D106" s="34">
        <v>2</v>
      </c>
      <c r="E106" s="34">
        <v>4</v>
      </c>
      <c r="F106" s="35" t="s">
        <v>56</v>
      </c>
      <c r="G106" s="34">
        <v>50</v>
      </c>
      <c r="H106" s="44">
        <v>15</v>
      </c>
      <c r="I106" s="36"/>
      <c r="J106" s="37">
        <f t="shared" si="0"/>
        <v>0</v>
      </c>
      <c r="K106" s="45"/>
      <c r="L106" s="45"/>
      <c r="M106" s="45"/>
      <c r="N106" s="39" t="s">
        <v>297</v>
      </c>
      <c r="O106" s="40" t="str">
        <f t="shared" si="1"/>
        <v>⬜ Aguardando 3º contato</v>
      </c>
      <c r="P106" s="41" t="str">
        <f t="shared" si="2"/>
        <v/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224"/>
      <c r="C107" s="201">
        <v>1</v>
      </c>
      <c r="D107" s="34">
        <v>1</v>
      </c>
      <c r="E107" s="34">
        <v>2</v>
      </c>
      <c r="F107" s="35" t="s">
        <v>57</v>
      </c>
      <c r="G107" s="34">
        <v>25</v>
      </c>
      <c r="H107" s="44">
        <v>20</v>
      </c>
      <c r="I107" s="36"/>
      <c r="J107" s="37">
        <f t="shared" si="0"/>
        <v>0</v>
      </c>
      <c r="K107" s="45"/>
      <c r="L107" s="45"/>
      <c r="M107" s="45"/>
      <c r="N107" s="39" t="s">
        <v>591</v>
      </c>
      <c r="O107" s="40" t="str">
        <f t="shared" si="1"/>
        <v>⬜ Aguardando 3º contato</v>
      </c>
      <c r="P107" s="41" t="str">
        <f t="shared" si="2"/>
        <v/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224"/>
      <c r="C108" s="34">
        <v>0</v>
      </c>
      <c r="D108" s="34">
        <v>1</v>
      </c>
      <c r="E108" s="34">
        <v>5</v>
      </c>
      <c r="F108" s="35" t="s">
        <v>555</v>
      </c>
      <c r="G108" s="34">
        <v>52</v>
      </c>
      <c r="H108" s="44">
        <f>37+14</f>
        <v>51</v>
      </c>
      <c r="I108" s="36">
        <f>30+10</f>
        <v>40</v>
      </c>
      <c r="J108" s="37">
        <f t="shared" si="0"/>
        <v>0.78431372549019607</v>
      </c>
      <c r="K108" s="45">
        <v>46085</v>
      </c>
      <c r="L108" s="45">
        <v>46099</v>
      </c>
      <c r="M108" s="45">
        <v>46199</v>
      </c>
      <c r="N108" s="39" t="s">
        <v>353</v>
      </c>
      <c r="O108" s="40" t="str">
        <f t="shared" si="1"/>
        <v>🟡 Rever em 26/07/2026</v>
      </c>
      <c r="P108" s="41" t="str">
        <f t="shared" si="2"/>
        <v/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224"/>
      <c r="C109" s="34">
        <v>4</v>
      </c>
      <c r="D109" s="34">
        <v>8</v>
      </c>
      <c r="E109" s="34">
        <v>4</v>
      </c>
      <c r="F109" s="35" t="s">
        <v>556</v>
      </c>
      <c r="G109" s="34">
        <v>34</v>
      </c>
      <c r="H109" s="44">
        <v>10</v>
      </c>
      <c r="I109" s="36">
        <v>9</v>
      </c>
      <c r="J109" s="37">
        <f t="shared" si="0"/>
        <v>0.9</v>
      </c>
      <c r="K109" s="45">
        <v>46064</v>
      </c>
      <c r="L109" s="45"/>
      <c r="M109" s="45"/>
      <c r="N109" s="39" t="s">
        <v>638</v>
      </c>
      <c r="O109" s="40" t="str">
        <f t="shared" si="1"/>
        <v>⬜ Aguardando 3º contato</v>
      </c>
      <c r="P109" s="41" t="str">
        <f t="shared" si="2"/>
        <v/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224"/>
      <c r="C110" s="34">
        <v>1</v>
      </c>
      <c r="D110" s="34">
        <v>0</v>
      </c>
      <c r="E110" s="34">
        <v>3</v>
      </c>
      <c r="F110" s="35" t="s">
        <v>557</v>
      </c>
      <c r="G110" s="34">
        <v>22</v>
      </c>
      <c r="H110" s="44">
        <v>10</v>
      </c>
      <c r="I110" s="36">
        <v>8</v>
      </c>
      <c r="J110" s="37">
        <f t="shared" si="0"/>
        <v>0.8</v>
      </c>
      <c r="K110" s="45">
        <v>46064</v>
      </c>
      <c r="L110" s="45"/>
      <c r="M110" s="45"/>
      <c r="N110" s="39" t="s">
        <v>296</v>
      </c>
      <c r="O110" s="40" t="str">
        <f t="shared" si="1"/>
        <v>⬜ Aguardando 3º contato</v>
      </c>
      <c r="P110" s="41" t="str">
        <f t="shared" si="2"/>
        <v/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224"/>
      <c r="C111" s="34">
        <v>0</v>
      </c>
      <c r="D111" s="34">
        <v>0</v>
      </c>
      <c r="E111" s="34">
        <v>2</v>
      </c>
      <c r="F111" s="35" t="s">
        <v>58</v>
      </c>
      <c r="G111" s="34">
        <v>56</v>
      </c>
      <c r="H111" s="44">
        <v>20</v>
      </c>
      <c r="I111" s="36"/>
      <c r="J111" s="37">
        <f t="shared" si="0"/>
        <v>0</v>
      </c>
      <c r="K111" s="45"/>
      <c r="L111" s="45"/>
      <c r="M111" s="45"/>
      <c r="N111" s="39" t="s">
        <v>588</v>
      </c>
      <c r="O111" s="40" t="str">
        <f t="shared" si="1"/>
        <v>⬜ Aguardando 3º contato</v>
      </c>
      <c r="P111" s="41" t="str">
        <f t="shared" si="2"/>
        <v/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227"/>
      <c r="C112" s="34">
        <v>0</v>
      </c>
      <c r="D112" s="34">
        <v>0</v>
      </c>
      <c r="E112" s="34">
        <v>1</v>
      </c>
      <c r="F112" s="35" t="s">
        <v>59</v>
      </c>
      <c r="G112" s="34">
        <v>15</v>
      </c>
      <c r="H112" s="44">
        <v>10</v>
      </c>
      <c r="I112" s="36"/>
      <c r="J112" s="37">
        <f t="shared" si="0"/>
        <v>0</v>
      </c>
      <c r="K112" s="45"/>
      <c r="L112" s="45"/>
      <c r="M112" s="45"/>
      <c r="N112" s="39" t="s">
        <v>588</v>
      </c>
      <c r="O112" s="40" t="str">
        <f t="shared" si="1"/>
        <v>⬜ Aguardando 3º contato</v>
      </c>
      <c r="P112" s="41" t="str">
        <f t="shared" si="2"/>
        <v/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223" t="s">
        <v>60</v>
      </c>
      <c r="C113" s="47">
        <v>3</v>
      </c>
      <c r="D113" s="47">
        <v>0</v>
      </c>
      <c r="E113" s="43">
        <v>3</v>
      </c>
      <c r="F113" s="249" t="s">
        <v>61</v>
      </c>
      <c r="G113" s="43">
        <v>36</v>
      </c>
      <c r="H113" s="43">
        <v>10</v>
      </c>
      <c r="I113" s="26">
        <v>9</v>
      </c>
      <c r="J113" s="27">
        <f t="shared" si="0"/>
        <v>0.9</v>
      </c>
      <c r="K113" s="46">
        <v>46140</v>
      </c>
      <c r="L113" s="46"/>
      <c r="M113" s="46"/>
      <c r="N113" s="29" t="s">
        <v>285</v>
      </c>
      <c r="O113" s="30" t="str">
        <f t="shared" si="1"/>
        <v>⬜ Aguardando 3º contato</v>
      </c>
      <c r="P113" s="32" t="str">
        <f t="shared" si="2"/>
        <v/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224"/>
      <c r="C114" s="47">
        <v>0</v>
      </c>
      <c r="D114" s="47">
        <v>9</v>
      </c>
      <c r="E114" s="43">
        <v>2</v>
      </c>
      <c r="F114" s="249" t="s">
        <v>62</v>
      </c>
      <c r="G114" s="43">
        <v>26</v>
      </c>
      <c r="H114" s="43">
        <v>20</v>
      </c>
      <c r="I114" s="26"/>
      <c r="J114" s="27">
        <f t="shared" si="0"/>
        <v>0</v>
      </c>
      <c r="K114" s="46"/>
      <c r="L114" s="46"/>
      <c r="M114" s="46"/>
      <c r="N114" s="29" t="s">
        <v>591</v>
      </c>
      <c r="O114" s="30" t="str">
        <f t="shared" si="1"/>
        <v>⬜ Aguardando 3º contato</v>
      </c>
      <c r="P114" s="32" t="str">
        <f t="shared" si="2"/>
        <v/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225"/>
      <c r="C115" s="47">
        <v>1</v>
      </c>
      <c r="D115" s="47">
        <v>0</v>
      </c>
      <c r="E115" s="43">
        <v>1</v>
      </c>
      <c r="F115" s="249" t="s">
        <v>558</v>
      </c>
      <c r="G115" s="43">
        <v>7</v>
      </c>
      <c r="H115" s="43">
        <v>10</v>
      </c>
      <c r="I115" s="26"/>
      <c r="J115" s="27">
        <f t="shared" si="0"/>
        <v>0</v>
      </c>
      <c r="K115" s="46"/>
      <c r="L115" s="46"/>
      <c r="M115" s="46"/>
      <c r="N115" s="29" t="s">
        <v>287</v>
      </c>
      <c r="O115" s="30" t="str">
        <f t="shared" si="1"/>
        <v>⬜ Aguardando 3º contato</v>
      </c>
      <c r="P115" s="32" t="str">
        <f t="shared" si="2"/>
        <v/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226" t="s">
        <v>63</v>
      </c>
      <c r="C116" s="34">
        <v>2</v>
      </c>
      <c r="D116" s="34">
        <v>4</v>
      </c>
      <c r="E116" s="34">
        <v>2</v>
      </c>
      <c r="F116" s="35" t="s">
        <v>64</v>
      </c>
      <c r="G116" s="34">
        <v>16</v>
      </c>
      <c r="H116" s="34">
        <v>20</v>
      </c>
      <c r="I116" s="36"/>
      <c r="J116" s="37">
        <f t="shared" si="0"/>
        <v>0</v>
      </c>
      <c r="K116" s="45"/>
      <c r="L116" s="45"/>
      <c r="M116" s="45"/>
      <c r="N116" s="39" t="s">
        <v>283</v>
      </c>
      <c r="O116" s="40" t="str">
        <f t="shared" si="1"/>
        <v>⬜ Aguardando 3º contato</v>
      </c>
      <c r="P116" s="41" t="str">
        <f t="shared" si="2"/>
        <v/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227"/>
      <c r="C117" s="34">
        <v>0</v>
      </c>
      <c r="D117" s="34">
        <v>0</v>
      </c>
      <c r="E117" s="34">
        <v>1</v>
      </c>
      <c r="F117" s="35" t="s">
        <v>65</v>
      </c>
      <c r="G117" s="34">
        <v>5</v>
      </c>
      <c r="H117" s="34">
        <v>10</v>
      </c>
      <c r="I117" s="36"/>
      <c r="J117" s="37">
        <f t="shared" si="0"/>
        <v>0</v>
      </c>
      <c r="K117" s="45"/>
      <c r="L117" s="45"/>
      <c r="M117" s="45"/>
      <c r="N117" s="39" t="s">
        <v>588</v>
      </c>
      <c r="O117" s="40" t="str">
        <f t="shared" si="1"/>
        <v>⬜ Aguardando 3º contato</v>
      </c>
      <c r="P117" s="41" t="str">
        <f t="shared" si="2"/>
        <v/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223" t="s">
        <v>66</v>
      </c>
      <c r="C118" s="47">
        <v>1</v>
      </c>
      <c r="D118" s="47">
        <v>5</v>
      </c>
      <c r="E118" s="43">
        <v>5</v>
      </c>
      <c r="F118" s="249" t="s">
        <v>559</v>
      </c>
      <c r="G118" s="43">
        <v>86</v>
      </c>
      <c r="H118" s="43">
        <v>50</v>
      </c>
      <c r="I118" s="26"/>
      <c r="J118" s="27">
        <f t="shared" si="0"/>
        <v>0</v>
      </c>
      <c r="K118" s="46"/>
      <c r="L118" s="46"/>
      <c r="M118" s="46"/>
      <c r="N118" s="29" t="s">
        <v>597</v>
      </c>
      <c r="O118" s="30" t="str">
        <f t="shared" si="1"/>
        <v>⬜ Aguardando 3º contato</v>
      </c>
      <c r="P118" s="32" t="str">
        <f t="shared" si="2"/>
        <v/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224"/>
      <c r="C119" s="47">
        <v>5</v>
      </c>
      <c r="D119" s="47">
        <v>0</v>
      </c>
      <c r="E119" s="43">
        <v>5</v>
      </c>
      <c r="F119" s="249" t="s">
        <v>560</v>
      </c>
      <c r="G119" s="43">
        <v>34</v>
      </c>
      <c r="H119" s="43">
        <v>50</v>
      </c>
      <c r="I119" s="26"/>
      <c r="J119" s="27">
        <f t="shared" si="0"/>
        <v>0</v>
      </c>
      <c r="K119" s="46"/>
      <c r="L119" s="46"/>
      <c r="M119" s="46"/>
      <c r="N119" s="29" t="s">
        <v>282</v>
      </c>
      <c r="O119" s="30" t="str">
        <f t="shared" si="1"/>
        <v>⬜ Aguardando 3º contato</v>
      </c>
      <c r="P119" s="32" t="str">
        <f t="shared" si="2"/>
        <v/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224"/>
      <c r="C120" s="47">
        <v>0</v>
      </c>
      <c r="D120" s="47">
        <v>0</v>
      </c>
      <c r="E120" s="43">
        <v>3</v>
      </c>
      <c r="F120" s="249" t="s">
        <v>67</v>
      </c>
      <c r="G120" s="43">
        <v>7</v>
      </c>
      <c r="H120" s="43">
        <v>30</v>
      </c>
      <c r="I120" s="26"/>
      <c r="J120" s="27">
        <f t="shared" si="0"/>
        <v>0</v>
      </c>
      <c r="K120" s="46"/>
      <c r="L120" s="46"/>
      <c r="M120" s="46"/>
      <c r="N120" s="29" t="s">
        <v>588</v>
      </c>
      <c r="O120" s="30" t="str">
        <f t="shared" si="1"/>
        <v>⬜ Aguardando 3º contato</v>
      </c>
      <c r="P120" s="32" t="str">
        <f t="shared" si="2"/>
        <v/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224"/>
      <c r="C121" s="47">
        <v>0</v>
      </c>
      <c r="D121" s="47">
        <v>1</v>
      </c>
      <c r="E121" s="43">
        <v>5</v>
      </c>
      <c r="F121" s="249" t="s">
        <v>68</v>
      </c>
      <c r="G121" s="43">
        <v>65</v>
      </c>
      <c r="H121" s="43">
        <v>50</v>
      </c>
      <c r="I121" s="26"/>
      <c r="J121" s="27">
        <f t="shared" si="0"/>
        <v>0</v>
      </c>
      <c r="K121" s="46"/>
      <c r="L121" s="46"/>
      <c r="M121" s="46"/>
      <c r="N121" s="29" t="s">
        <v>343</v>
      </c>
      <c r="O121" s="30" t="str">
        <f t="shared" si="1"/>
        <v>⬜ Aguardando 3º contato</v>
      </c>
      <c r="P121" s="32" t="str">
        <f t="shared" si="2"/>
        <v/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224"/>
      <c r="C122" s="47">
        <v>2</v>
      </c>
      <c r="D122" s="47">
        <v>3</v>
      </c>
      <c r="E122" s="43">
        <v>3</v>
      </c>
      <c r="F122" s="249" t="s">
        <v>561</v>
      </c>
      <c r="G122" s="43">
        <v>36</v>
      </c>
      <c r="H122" s="43">
        <v>30</v>
      </c>
      <c r="I122" s="26"/>
      <c r="J122" s="27">
        <f t="shared" si="0"/>
        <v>0</v>
      </c>
      <c r="K122" s="46"/>
      <c r="L122" s="46"/>
      <c r="M122" s="46"/>
      <c r="N122" s="29" t="s">
        <v>598</v>
      </c>
      <c r="O122" s="30" t="str">
        <f t="shared" si="1"/>
        <v>⬜ Aguardando 3º contato</v>
      </c>
      <c r="P122" s="32" t="str">
        <f t="shared" si="2"/>
        <v/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224"/>
      <c r="C123" s="47">
        <v>1</v>
      </c>
      <c r="D123" s="47">
        <v>1</v>
      </c>
      <c r="E123" s="43">
        <v>2</v>
      </c>
      <c r="F123" s="249" t="s">
        <v>69</v>
      </c>
      <c r="G123" s="43">
        <v>12</v>
      </c>
      <c r="H123" s="43">
        <v>20</v>
      </c>
      <c r="I123" s="26"/>
      <c r="J123" s="27">
        <f t="shared" si="0"/>
        <v>0</v>
      </c>
      <c r="K123" s="46"/>
      <c r="L123" s="46"/>
      <c r="M123" s="46"/>
      <c r="N123" s="29" t="s">
        <v>280</v>
      </c>
      <c r="O123" s="30" t="str">
        <f t="shared" si="1"/>
        <v>⬜ Aguardando 3º contato</v>
      </c>
      <c r="P123" s="32" t="str">
        <f t="shared" si="2"/>
        <v/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224"/>
      <c r="C124" s="47">
        <v>1</v>
      </c>
      <c r="D124" s="47">
        <v>1</v>
      </c>
      <c r="E124" s="43">
        <v>1</v>
      </c>
      <c r="F124" s="249" t="s">
        <v>279</v>
      </c>
      <c r="G124" s="43">
        <v>10</v>
      </c>
      <c r="H124" s="43">
        <v>10</v>
      </c>
      <c r="I124" s="26"/>
      <c r="J124" s="27">
        <f t="shared" si="0"/>
        <v>0</v>
      </c>
      <c r="K124" s="46"/>
      <c r="L124" s="46"/>
      <c r="M124" s="46"/>
      <c r="N124" s="29" t="s">
        <v>591</v>
      </c>
      <c r="O124" s="30" t="str">
        <f t="shared" si="1"/>
        <v>⬜ Aguardando 3º contato</v>
      </c>
      <c r="P124" s="32" t="str">
        <f t="shared" si="2"/>
        <v/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224"/>
      <c r="C125" s="47">
        <v>1</v>
      </c>
      <c r="D125" s="47">
        <v>2</v>
      </c>
      <c r="E125" s="43">
        <v>5</v>
      </c>
      <c r="F125" s="249" t="s">
        <v>70</v>
      </c>
      <c r="G125" s="43">
        <v>49</v>
      </c>
      <c r="H125" s="43">
        <v>50</v>
      </c>
      <c r="I125" s="26"/>
      <c r="J125" s="27">
        <f t="shared" si="0"/>
        <v>0</v>
      </c>
      <c r="K125" s="46"/>
      <c r="L125" s="46"/>
      <c r="M125" s="46"/>
      <c r="N125" s="29" t="s">
        <v>277</v>
      </c>
      <c r="O125" s="30" t="str">
        <f t="shared" si="1"/>
        <v>⬜ Aguardando 3º contato</v>
      </c>
      <c r="P125" s="32" t="str">
        <f t="shared" si="2"/>
        <v/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224"/>
      <c r="C126" s="47">
        <v>2</v>
      </c>
      <c r="D126" s="47">
        <v>1</v>
      </c>
      <c r="E126" s="43">
        <v>4</v>
      </c>
      <c r="F126" s="249" t="s">
        <v>562</v>
      </c>
      <c r="G126" s="43">
        <v>47</v>
      </c>
      <c r="H126" s="43">
        <v>40</v>
      </c>
      <c r="I126" s="26"/>
      <c r="J126" s="27">
        <f t="shared" si="0"/>
        <v>0</v>
      </c>
      <c r="K126" s="46"/>
      <c r="L126" s="46"/>
      <c r="M126" s="46"/>
      <c r="N126" s="29" t="s">
        <v>281</v>
      </c>
      <c r="O126" s="30" t="str">
        <f t="shared" si="1"/>
        <v>⬜ Aguardando 3º contato</v>
      </c>
      <c r="P126" s="32" t="str">
        <f t="shared" si="2"/>
        <v/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224"/>
      <c r="C127" s="47">
        <v>2</v>
      </c>
      <c r="D127" s="47">
        <v>0</v>
      </c>
      <c r="E127" s="43" t="s">
        <v>71</v>
      </c>
      <c r="F127" s="249" t="s">
        <v>72</v>
      </c>
      <c r="G127" s="43"/>
      <c r="H127" s="43">
        <v>20</v>
      </c>
      <c r="I127" s="26"/>
      <c r="J127" s="27"/>
      <c r="K127" s="46"/>
      <c r="L127" s="46"/>
      <c r="M127" s="46"/>
      <c r="N127" s="29" t="s">
        <v>591</v>
      </c>
      <c r="O127" s="30" t="str">
        <f t="shared" si="1"/>
        <v>⬜ Aguardando 3º contato</v>
      </c>
      <c r="P127" s="32" t="str">
        <f t="shared" si="2"/>
        <v/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224"/>
      <c r="C128" s="47">
        <v>2</v>
      </c>
      <c r="D128" s="47">
        <v>1</v>
      </c>
      <c r="E128" s="43">
        <v>4</v>
      </c>
      <c r="F128" s="249" t="s">
        <v>391</v>
      </c>
      <c r="G128" s="43">
        <v>13</v>
      </c>
      <c r="H128" s="43">
        <v>40</v>
      </c>
      <c r="I128" s="26"/>
      <c r="J128" s="27">
        <f t="shared" ref="J128:J175" si="9">IF(OR(I128="",I128=0),0,I128/H128)</f>
        <v>0</v>
      </c>
      <c r="K128" s="46"/>
      <c r="L128" s="46"/>
      <c r="M128" s="46"/>
      <c r="N128" s="29" t="s">
        <v>271</v>
      </c>
      <c r="O128" s="30" t="str">
        <f t="shared" si="1"/>
        <v>⬜ Aguardando 3º contato</v>
      </c>
      <c r="P128" s="32" t="str">
        <f t="shared" si="2"/>
        <v/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224"/>
      <c r="C129" s="47">
        <v>1</v>
      </c>
      <c r="D129" s="47">
        <v>3</v>
      </c>
      <c r="E129" s="43">
        <v>3</v>
      </c>
      <c r="F129" s="249" t="s">
        <v>563</v>
      </c>
      <c r="G129" s="43">
        <v>19</v>
      </c>
      <c r="H129" s="43">
        <v>30</v>
      </c>
      <c r="I129" s="26"/>
      <c r="J129" s="27">
        <f t="shared" si="9"/>
        <v>0</v>
      </c>
      <c r="K129" s="46"/>
      <c r="L129" s="46"/>
      <c r="M129" s="46"/>
      <c r="N129" s="29" t="s">
        <v>344</v>
      </c>
      <c r="O129" s="30" t="str">
        <f t="shared" si="1"/>
        <v>⬜ Aguardando 3º contato</v>
      </c>
      <c r="P129" s="32" t="str">
        <f t="shared" si="2"/>
        <v/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224"/>
      <c r="C130" s="47">
        <v>0</v>
      </c>
      <c r="D130" s="47">
        <v>1</v>
      </c>
      <c r="E130" s="43">
        <v>3</v>
      </c>
      <c r="F130" s="249" t="s">
        <v>73</v>
      </c>
      <c r="G130" s="43">
        <v>14</v>
      </c>
      <c r="H130" s="43">
        <v>30</v>
      </c>
      <c r="I130" s="26"/>
      <c r="J130" s="27">
        <f t="shared" si="9"/>
        <v>0</v>
      </c>
      <c r="K130" s="46"/>
      <c r="L130" s="46"/>
      <c r="M130" s="46"/>
      <c r="N130" s="29" t="s">
        <v>591</v>
      </c>
      <c r="O130" s="30" t="str">
        <f t="shared" si="1"/>
        <v>⬜ Aguardando 3º contato</v>
      </c>
      <c r="P130" s="32" t="str">
        <f t="shared" si="2"/>
        <v/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224"/>
      <c r="C131" s="47">
        <v>0</v>
      </c>
      <c r="D131" s="47">
        <v>0</v>
      </c>
      <c r="E131" s="43">
        <v>2</v>
      </c>
      <c r="F131" s="249" t="s">
        <v>74</v>
      </c>
      <c r="G131" s="43">
        <v>8</v>
      </c>
      <c r="H131" s="43">
        <v>20</v>
      </c>
      <c r="I131" s="26"/>
      <c r="J131" s="27">
        <f t="shared" si="9"/>
        <v>0</v>
      </c>
      <c r="K131" s="46"/>
      <c r="L131" s="46"/>
      <c r="M131" s="46"/>
      <c r="N131" s="29" t="s">
        <v>588</v>
      </c>
      <c r="O131" s="30" t="str">
        <f t="shared" si="1"/>
        <v>⬜ Aguardando 3º contato</v>
      </c>
      <c r="P131" s="32" t="str">
        <f t="shared" si="2"/>
        <v/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224"/>
      <c r="C132" s="200">
        <v>0</v>
      </c>
      <c r="D132" s="47">
        <v>0</v>
      </c>
      <c r="E132" s="43">
        <v>1</v>
      </c>
      <c r="F132" s="249" t="s">
        <v>75</v>
      </c>
      <c r="G132" s="43">
        <v>14</v>
      </c>
      <c r="H132" s="43">
        <v>10</v>
      </c>
      <c r="I132" s="26"/>
      <c r="J132" s="27">
        <f t="shared" si="9"/>
        <v>0</v>
      </c>
      <c r="K132" s="46"/>
      <c r="L132" s="46"/>
      <c r="M132" s="46"/>
      <c r="N132" s="29" t="s">
        <v>588</v>
      </c>
      <c r="O132" s="30" t="str">
        <f t="shared" si="1"/>
        <v>⬜ Aguardando 3º contato</v>
      </c>
      <c r="P132" s="32" t="str">
        <f t="shared" si="2"/>
        <v/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224"/>
      <c r="C133" s="47">
        <v>0</v>
      </c>
      <c r="D133" s="47">
        <v>0</v>
      </c>
      <c r="E133" s="43">
        <v>1</v>
      </c>
      <c r="F133" s="249" t="s">
        <v>76</v>
      </c>
      <c r="G133" s="43">
        <v>13</v>
      </c>
      <c r="H133" s="43">
        <v>10</v>
      </c>
      <c r="I133" s="26"/>
      <c r="J133" s="27">
        <f t="shared" si="9"/>
        <v>0</v>
      </c>
      <c r="K133" s="46"/>
      <c r="L133" s="46"/>
      <c r="M133" s="46"/>
      <c r="N133" s="29" t="s">
        <v>588</v>
      </c>
      <c r="O133" s="30" t="str">
        <f t="shared" si="1"/>
        <v>⬜ Aguardando 3º contato</v>
      </c>
      <c r="P133" s="32" t="str">
        <f t="shared" si="2"/>
        <v/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224"/>
      <c r="C134" s="47">
        <v>0</v>
      </c>
      <c r="D134" s="47">
        <v>0</v>
      </c>
      <c r="E134" s="43">
        <v>1</v>
      </c>
      <c r="F134" s="249" t="s">
        <v>77</v>
      </c>
      <c r="G134" s="43">
        <v>7</v>
      </c>
      <c r="H134" s="43">
        <v>10</v>
      </c>
      <c r="I134" s="26"/>
      <c r="J134" s="27">
        <f t="shared" si="9"/>
        <v>0</v>
      </c>
      <c r="K134" s="46"/>
      <c r="L134" s="46"/>
      <c r="M134" s="46"/>
      <c r="N134" s="29" t="s">
        <v>588</v>
      </c>
      <c r="O134" s="30" t="str">
        <f t="shared" si="1"/>
        <v>⬜ Aguardando 3º contato</v>
      </c>
      <c r="P134" s="32" t="str">
        <f t="shared" si="2"/>
        <v/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224"/>
      <c r="C135" s="47">
        <v>0</v>
      </c>
      <c r="D135" s="47">
        <v>1</v>
      </c>
      <c r="E135" s="43">
        <v>1</v>
      </c>
      <c r="F135" s="249" t="s">
        <v>78</v>
      </c>
      <c r="G135" s="43">
        <v>7</v>
      </c>
      <c r="H135" s="43">
        <v>10</v>
      </c>
      <c r="I135" s="26"/>
      <c r="J135" s="27">
        <f t="shared" si="9"/>
        <v>0</v>
      </c>
      <c r="K135" s="46"/>
      <c r="L135" s="46"/>
      <c r="M135" s="46"/>
      <c r="N135" s="29" t="s">
        <v>591</v>
      </c>
      <c r="O135" s="30" t="str">
        <f t="shared" si="1"/>
        <v>⬜ Aguardando 3º contato</v>
      </c>
      <c r="P135" s="32" t="str">
        <f t="shared" si="2"/>
        <v/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224"/>
      <c r="C136" s="47">
        <v>1</v>
      </c>
      <c r="D136" s="47">
        <v>0</v>
      </c>
      <c r="E136" s="43">
        <v>1</v>
      </c>
      <c r="F136" s="249" t="s">
        <v>564</v>
      </c>
      <c r="G136" s="43">
        <v>6</v>
      </c>
      <c r="H136" s="43">
        <v>10</v>
      </c>
      <c r="I136" s="26"/>
      <c r="J136" s="27">
        <f t="shared" si="9"/>
        <v>0</v>
      </c>
      <c r="K136" s="46"/>
      <c r="L136" s="46"/>
      <c r="M136" s="46"/>
      <c r="N136" s="29" t="s">
        <v>278</v>
      </c>
      <c r="O136" s="30" t="str">
        <f t="shared" si="1"/>
        <v>⬜ Aguardando 3º contato</v>
      </c>
      <c r="P136" s="32" t="str">
        <f t="shared" si="2"/>
        <v/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224"/>
      <c r="C137" s="47">
        <v>0</v>
      </c>
      <c r="D137" s="47">
        <v>0</v>
      </c>
      <c r="E137" s="43">
        <v>1</v>
      </c>
      <c r="F137" s="249" t="s">
        <v>565</v>
      </c>
      <c r="G137" s="43">
        <v>22</v>
      </c>
      <c r="H137" s="43">
        <v>10</v>
      </c>
      <c r="I137" s="26"/>
      <c r="J137" s="27">
        <f t="shared" si="9"/>
        <v>0</v>
      </c>
      <c r="K137" s="46"/>
      <c r="L137" s="46"/>
      <c r="M137" s="46"/>
      <c r="N137" s="29" t="s">
        <v>588</v>
      </c>
      <c r="O137" s="30" t="str">
        <f t="shared" si="1"/>
        <v>⬜ Aguardando 3º contato</v>
      </c>
      <c r="P137" s="32" t="str">
        <f t="shared" si="2"/>
        <v/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225"/>
      <c r="C138" s="47">
        <v>0</v>
      </c>
      <c r="D138" s="47">
        <v>0</v>
      </c>
      <c r="E138" s="43">
        <v>1</v>
      </c>
      <c r="F138" s="249" t="s">
        <v>79</v>
      </c>
      <c r="G138" s="43">
        <v>7</v>
      </c>
      <c r="H138" s="43">
        <v>20</v>
      </c>
      <c r="I138" s="26"/>
      <c r="J138" s="27">
        <f t="shared" si="9"/>
        <v>0</v>
      </c>
      <c r="K138" s="46"/>
      <c r="L138" s="46"/>
      <c r="M138" s="46"/>
      <c r="N138" s="29" t="s">
        <v>588</v>
      </c>
      <c r="O138" s="30" t="str">
        <f t="shared" si="1"/>
        <v>⬜ Aguardando 3º contato</v>
      </c>
      <c r="P138" s="32" t="str">
        <f t="shared" si="2"/>
        <v/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226" t="s">
        <v>80</v>
      </c>
      <c r="C139" s="34">
        <v>1</v>
      </c>
      <c r="D139" s="34">
        <v>2</v>
      </c>
      <c r="E139" s="34">
        <v>1</v>
      </c>
      <c r="F139" s="35" t="s">
        <v>566</v>
      </c>
      <c r="G139" s="34">
        <v>29</v>
      </c>
      <c r="H139" s="34">
        <v>20</v>
      </c>
      <c r="I139" s="36"/>
      <c r="J139" s="37">
        <f t="shared" si="9"/>
        <v>0</v>
      </c>
      <c r="K139" s="45"/>
      <c r="L139" s="45"/>
      <c r="M139" s="45"/>
      <c r="N139" s="39" t="s">
        <v>266</v>
      </c>
      <c r="O139" s="40" t="str">
        <f t="shared" si="1"/>
        <v>⬜ Aguardando 3º contato</v>
      </c>
      <c r="P139" s="41" t="str">
        <f t="shared" si="2"/>
        <v/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227"/>
      <c r="C140" s="34">
        <v>0</v>
      </c>
      <c r="D140" s="34">
        <v>4</v>
      </c>
      <c r="E140" s="34">
        <v>3</v>
      </c>
      <c r="F140" s="35" t="s">
        <v>567</v>
      </c>
      <c r="G140" s="34">
        <v>23</v>
      </c>
      <c r="H140" s="34">
        <v>15</v>
      </c>
      <c r="I140" s="36">
        <v>11</v>
      </c>
      <c r="J140" s="37">
        <f t="shared" si="9"/>
        <v>0.73333333333333328</v>
      </c>
      <c r="K140" s="45">
        <v>46063</v>
      </c>
      <c r="L140" s="45">
        <v>46082</v>
      </c>
      <c r="M140" s="45"/>
      <c r="N140" s="39" t="s">
        <v>340</v>
      </c>
      <c r="O140" s="40" t="str">
        <f t="shared" si="1"/>
        <v>⬜ Aguardando 3º contato</v>
      </c>
      <c r="P140" s="41" t="str">
        <f t="shared" si="2"/>
        <v>📌 Atenção: Alta incidência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223" t="s">
        <v>81</v>
      </c>
      <c r="C141" s="47">
        <v>3</v>
      </c>
      <c r="D141" s="47">
        <v>5</v>
      </c>
      <c r="E141" s="43">
        <v>4</v>
      </c>
      <c r="F141" s="249" t="s">
        <v>82</v>
      </c>
      <c r="G141" s="43">
        <v>30</v>
      </c>
      <c r="H141" s="43">
        <v>40</v>
      </c>
      <c r="I141" s="26">
        <v>32</v>
      </c>
      <c r="J141" s="27">
        <f t="shared" si="9"/>
        <v>0.8</v>
      </c>
      <c r="K141" s="46">
        <v>46140</v>
      </c>
      <c r="L141" s="46">
        <v>46145</v>
      </c>
      <c r="M141" s="46">
        <v>46164</v>
      </c>
      <c r="N141" s="29" t="s">
        <v>339</v>
      </c>
      <c r="O141" s="30" t="str">
        <f t="shared" si="1"/>
        <v>🟡 Rever em 21/06/2026</v>
      </c>
      <c r="P141" s="32" t="str">
        <f t="shared" si="2"/>
        <v/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224"/>
      <c r="C142" s="47">
        <v>5</v>
      </c>
      <c r="D142" s="47">
        <v>2</v>
      </c>
      <c r="E142" s="43">
        <v>3</v>
      </c>
      <c r="F142" s="249" t="s">
        <v>568</v>
      </c>
      <c r="G142" s="43">
        <v>33</v>
      </c>
      <c r="H142" s="43">
        <f>40+15</f>
        <v>55</v>
      </c>
      <c r="I142" s="26">
        <f>28+12</f>
        <v>40</v>
      </c>
      <c r="J142" s="27">
        <f t="shared" si="9"/>
        <v>0.72727272727272729</v>
      </c>
      <c r="K142" s="46">
        <v>46140</v>
      </c>
      <c r="L142" s="46">
        <v>46146</v>
      </c>
      <c r="M142" s="46">
        <v>46195</v>
      </c>
      <c r="N142" s="29" t="s">
        <v>264</v>
      </c>
      <c r="O142" s="30" t="str">
        <f t="shared" si="1"/>
        <v>🟡 Rever em 22/07/2026</v>
      </c>
      <c r="P142" s="32" t="str">
        <f t="shared" si="2"/>
        <v>📌 Atenção: Alta incidência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224"/>
      <c r="C143" s="47">
        <v>0</v>
      </c>
      <c r="D143" s="47">
        <v>0</v>
      </c>
      <c r="E143" s="43">
        <v>1</v>
      </c>
      <c r="F143" s="249" t="s">
        <v>83</v>
      </c>
      <c r="G143" s="43">
        <v>7</v>
      </c>
      <c r="H143" s="43">
        <v>10</v>
      </c>
      <c r="I143" s="26"/>
      <c r="J143" s="27">
        <f t="shared" si="9"/>
        <v>0</v>
      </c>
      <c r="K143" s="46"/>
      <c r="L143" s="46"/>
      <c r="M143" s="46"/>
      <c r="N143" s="29" t="s">
        <v>588</v>
      </c>
      <c r="O143" s="30" t="str">
        <f t="shared" si="1"/>
        <v>⬜ Aguardando 3º contato</v>
      </c>
      <c r="P143" s="32" t="str">
        <f t="shared" si="2"/>
        <v/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224"/>
      <c r="C144" s="47">
        <v>0</v>
      </c>
      <c r="D144" s="47">
        <v>2</v>
      </c>
      <c r="E144" s="43">
        <v>3</v>
      </c>
      <c r="F144" s="249" t="s">
        <v>84</v>
      </c>
      <c r="G144" s="43">
        <v>31</v>
      </c>
      <c r="H144" s="43">
        <v>30</v>
      </c>
      <c r="I144" s="26"/>
      <c r="J144" s="27">
        <f t="shared" si="9"/>
        <v>0</v>
      </c>
      <c r="K144" s="46"/>
      <c r="L144" s="46"/>
      <c r="M144" s="46"/>
      <c r="N144" s="29" t="s">
        <v>591</v>
      </c>
      <c r="O144" s="30" t="str">
        <f t="shared" si="1"/>
        <v>⬜ Aguardando 3º contato</v>
      </c>
      <c r="P144" s="32" t="str">
        <f t="shared" si="2"/>
        <v/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224"/>
      <c r="C145" s="47">
        <v>0</v>
      </c>
      <c r="D145" s="47">
        <v>0</v>
      </c>
      <c r="E145" s="43">
        <v>3</v>
      </c>
      <c r="F145" s="249" t="s">
        <v>569</v>
      </c>
      <c r="G145" s="43">
        <v>49</v>
      </c>
      <c r="H145" s="43">
        <v>30</v>
      </c>
      <c r="I145" s="26"/>
      <c r="J145" s="27">
        <f t="shared" si="9"/>
        <v>0</v>
      </c>
      <c r="K145" s="46"/>
      <c r="L145" s="46"/>
      <c r="M145" s="46"/>
      <c r="N145" s="29" t="s">
        <v>588</v>
      </c>
      <c r="O145" s="30" t="str">
        <f t="shared" si="1"/>
        <v>⬜ Aguardando 3º contato</v>
      </c>
      <c r="P145" s="32" t="str">
        <f t="shared" si="2"/>
        <v/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224"/>
      <c r="C146" s="200">
        <v>1</v>
      </c>
      <c r="D146" s="47">
        <v>2</v>
      </c>
      <c r="E146" s="43">
        <v>4</v>
      </c>
      <c r="F146" s="249" t="s">
        <v>570</v>
      </c>
      <c r="G146" s="43">
        <v>42</v>
      </c>
      <c r="H146" s="43">
        <v>40</v>
      </c>
      <c r="I146" s="26"/>
      <c r="J146" s="27">
        <f t="shared" si="9"/>
        <v>0</v>
      </c>
      <c r="K146" s="46"/>
      <c r="L146" s="46"/>
      <c r="M146" s="46"/>
      <c r="N146" s="29" t="s">
        <v>591</v>
      </c>
      <c r="O146" s="30" t="str">
        <f t="shared" si="1"/>
        <v>⬜ Aguardando 3º contato</v>
      </c>
      <c r="P146" s="32" t="str">
        <f t="shared" si="2"/>
        <v/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224"/>
      <c r="C147" s="47">
        <v>0</v>
      </c>
      <c r="D147" s="47">
        <v>0</v>
      </c>
      <c r="E147" s="43">
        <v>2</v>
      </c>
      <c r="F147" s="249" t="s">
        <v>85</v>
      </c>
      <c r="G147" s="43">
        <v>12</v>
      </c>
      <c r="H147" s="43">
        <v>20</v>
      </c>
      <c r="I147" s="26"/>
      <c r="J147" s="27">
        <f t="shared" si="9"/>
        <v>0</v>
      </c>
      <c r="K147" s="46"/>
      <c r="L147" s="46"/>
      <c r="M147" s="46"/>
      <c r="N147" s="29" t="s">
        <v>588</v>
      </c>
      <c r="O147" s="30" t="str">
        <f t="shared" si="1"/>
        <v>⬜ Aguardando 3º contato</v>
      </c>
      <c r="P147" s="32" t="str">
        <f t="shared" si="2"/>
        <v/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224"/>
      <c r="C148" s="47">
        <v>0</v>
      </c>
      <c r="D148" s="47">
        <v>1</v>
      </c>
      <c r="E148" s="43">
        <v>1</v>
      </c>
      <c r="F148" s="249" t="s">
        <v>571</v>
      </c>
      <c r="G148" s="43">
        <v>7</v>
      </c>
      <c r="H148" s="43">
        <v>10</v>
      </c>
      <c r="I148" s="26"/>
      <c r="J148" s="27">
        <f t="shared" si="9"/>
        <v>0</v>
      </c>
      <c r="K148" s="46"/>
      <c r="L148" s="46"/>
      <c r="M148" s="46"/>
      <c r="N148" s="29" t="s">
        <v>591</v>
      </c>
      <c r="O148" s="30" t="str">
        <f t="shared" si="1"/>
        <v>⬜ Aguardando 3º contato</v>
      </c>
      <c r="P148" s="32" t="str">
        <f t="shared" si="2"/>
        <v/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224"/>
      <c r="C149" s="47">
        <v>0</v>
      </c>
      <c r="D149" s="47">
        <v>1</v>
      </c>
      <c r="E149" s="43">
        <v>1</v>
      </c>
      <c r="F149" s="249" t="s">
        <v>572</v>
      </c>
      <c r="G149" s="43">
        <v>20</v>
      </c>
      <c r="H149" s="43">
        <v>10</v>
      </c>
      <c r="I149" s="26"/>
      <c r="J149" s="27">
        <f t="shared" si="9"/>
        <v>0</v>
      </c>
      <c r="K149" s="46"/>
      <c r="L149" s="46"/>
      <c r="M149" s="46"/>
      <c r="N149" s="29" t="s">
        <v>591</v>
      </c>
      <c r="O149" s="30" t="str">
        <f t="shared" si="1"/>
        <v>⬜ Aguardando 3º contato</v>
      </c>
      <c r="P149" s="32" t="str">
        <f t="shared" si="2"/>
        <v/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224"/>
      <c r="C150" s="47">
        <v>0</v>
      </c>
      <c r="D150" s="47">
        <v>2</v>
      </c>
      <c r="E150" s="43">
        <v>5</v>
      </c>
      <c r="F150" s="249" t="s">
        <v>573</v>
      </c>
      <c r="G150" s="43">
        <v>33</v>
      </c>
      <c r="H150" s="43">
        <v>50</v>
      </c>
      <c r="I150" s="26"/>
      <c r="J150" s="27">
        <f t="shared" si="9"/>
        <v>0</v>
      </c>
      <c r="K150" s="46"/>
      <c r="L150" s="46"/>
      <c r="M150" s="46"/>
      <c r="N150" s="29" t="s">
        <v>591</v>
      </c>
      <c r="O150" s="30" t="str">
        <f t="shared" si="1"/>
        <v>⬜ Aguardando 3º contato</v>
      </c>
      <c r="P150" s="32" t="str">
        <f t="shared" si="2"/>
        <v/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224"/>
      <c r="C151" s="47">
        <v>0</v>
      </c>
      <c r="D151" s="47">
        <v>0</v>
      </c>
      <c r="E151" s="43">
        <v>3</v>
      </c>
      <c r="F151" s="249" t="s">
        <v>86</v>
      </c>
      <c r="G151" s="43">
        <v>21</v>
      </c>
      <c r="H151" s="43">
        <v>30</v>
      </c>
      <c r="I151" s="26"/>
      <c r="J151" s="27">
        <f t="shared" si="9"/>
        <v>0</v>
      </c>
      <c r="K151" s="46"/>
      <c r="L151" s="46"/>
      <c r="M151" s="46"/>
      <c r="N151" s="29" t="s">
        <v>588</v>
      </c>
      <c r="O151" s="30" t="str">
        <f t="shared" si="1"/>
        <v>⬜ Aguardando 3º contato</v>
      </c>
      <c r="P151" s="32" t="str">
        <f t="shared" si="2"/>
        <v/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224"/>
      <c r="C152" s="47">
        <v>0</v>
      </c>
      <c r="D152" s="47">
        <v>0</v>
      </c>
      <c r="E152" s="43">
        <v>3</v>
      </c>
      <c r="F152" s="249" t="s">
        <v>574</v>
      </c>
      <c r="G152" s="43">
        <v>13</v>
      </c>
      <c r="H152" s="43">
        <v>30</v>
      </c>
      <c r="I152" s="26"/>
      <c r="J152" s="27">
        <f t="shared" si="9"/>
        <v>0</v>
      </c>
      <c r="K152" s="46"/>
      <c r="L152" s="46"/>
      <c r="M152" s="46"/>
      <c r="N152" s="29" t="s">
        <v>588</v>
      </c>
      <c r="O152" s="30" t="str">
        <f t="shared" si="1"/>
        <v>⬜ Aguardando 3º contato</v>
      </c>
      <c r="P152" s="32" t="str">
        <f t="shared" si="2"/>
        <v/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224"/>
      <c r="C153" s="47">
        <v>0</v>
      </c>
      <c r="D153" s="47">
        <v>0</v>
      </c>
      <c r="E153" s="43">
        <v>3</v>
      </c>
      <c r="F153" s="249" t="s">
        <v>87</v>
      </c>
      <c r="G153" s="43">
        <v>21</v>
      </c>
      <c r="H153" s="43">
        <v>30</v>
      </c>
      <c r="I153" s="26"/>
      <c r="J153" s="27">
        <f t="shared" si="9"/>
        <v>0</v>
      </c>
      <c r="K153" s="46"/>
      <c r="L153" s="46"/>
      <c r="M153" s="46"/>
      <c r="N153" s="29" t="s">
        <v>588</v>
      </c>
      <c r="O153" s="30" t="str">
        <f t="shared" si="1"/>
        <v>⬜ Aguardando 3º contato</v>
      </c>
      <c r="P153" s="32" t="str">
        <f t="shared" si="2"/>
        <v/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224"/>
      <c r="C154" s="47">
        <v>1</v>
      </c>
      <c r="D154" s="47">
        <v>1</v>
      </c>
      <c r="E154" s="43">
        <v>2</v>
      </c>
      <c r="F154" s="249" t="s">
        <v>575</v>
      </c>
      <c r="G154" s="43">
        <v>35</v>
      </c>
      <c r="H154" s="43">
        <v>20</v>
      </c>
      <c r="I154" s="26"/>
      <c r="J154" s="27">
        <f t="shared" si="9"/>
        <v>0</v>
      </c>
      <c r="K154" s="46"/>
      <c r="L154" s="46"/>
      <c r="M154" s="46"/>
      <c r="N154" s="29" t="s">
        <v>265</v>
      </c>
      <c r="O154" s="30" t="str">
        <f t="shared" si="1"/>
        <v>⬜ Aguardando 3º contato</v>
      </c>
      <c r="P154" s="32" t="str">
        <f t="shared" si="2"/>
        <v/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224"/>
      <c r="C155" s="47">
        <v>0</v>
      </c>
      <c r="D155" s="47">
        <v>0</v>
      </c>
      <c r="E155" s="43">
        <v>2</v>
      </c>
      <c r="F155" s="249" t="s">
        <v>88</v>
      </c>
      <c r="G155" s="43">
        <v>13</v>
      </c>
      <c r="H155" s="43">
        <v>20</v>
      </c>
      <c r="I155" s="26"/>
      <c r="J155" s="27">
        <f t="shared" si="9"/>
        <v>0</v>
      </c>
      <c r="K155" s="46"/>
      <c r="L155" s="46"/>
      <c r="M155" s="46"/>
      <c r="N155" s="29" t="s">
        <v>588</v>
      </c>
      <c r="O155" s="30" t="str">
        <f t="shared" si="1"/>
        <v>⬜ Aguardando 3º contato</v>
      </c>
      <c r="P155" s="32" t="str">
        <f t="shared" si="2"/>
        <v/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224"/>
      <c r="C156" s="47">
        <v>0</v>
      </c>
      <c r="D156" s="47">
        <v>0</v>
      </c>
      <c r="E156" s="43">
        <v>1</v>
      </c>
      <c r="F156" s="249" t="s">
        <v>89</v>
      </c>
      <c r="G156" s="43">
        <v>20</v>
      </c>
      <c r="H156" s="43">
        <v>10</v>
      </c>
      <c r="I156" s="26"/>
      <c r="J156" s="27">
        <f t="shared" si="9"/>
        <v>0</v>
      </c>
      <c r="K156" s="46"/>
      <c r="L156" s="46"/>
      <c r="M156" s="46"/>
      <c r="N156" s="29" t="s">
        <v>588</v>
      </c>
      <c r="O156" s="30" t="str">
        <f t="shared" si="1"/>
        <v>⬜ Aguardando 3º contato</v>
      </c>
      <c r="P156" s="32" t="str">
        <f t="shared" si="2"/>
        <v/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224"/>
      <c r="C157" s="47">
        <v>0</v>
      </c>
      <c r="D157" s="47">
        <v>0</v>
      </c>
      <c r="E157" s="43">
        <v>1</v>
      </c>
      <c r="F157" s="249" t="s">
        <v>90</v>
      </c>
      <c r="G157" s="43">
        <v>7</v>
      </c>
      <c r="H157" s="43">
        <v>10</v>
      </c>
      <c r="I157" s="26"/>
      <c r="J157" s="27">
        <f t="shared" si="9"/>
        <v>0</v>
      </c>
      <c r="K157" s="46"/>
      <c r="L157" s="46"/>
      <c r="M157" s="46"/>
      <c r="N157" s="29" t="s">
        <v>588</v>
      </c>
      <c r="O157" s="30" t="str">
        <f t="shared" si="1"/>
        <v>⬜ Aguardando 3º contato</v>
      </c>
      <c r="P157" s="32" t="str">
        <f t="shared" si="2"/>
        <v/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224"/>
      <c r="C158" s="47">
        <v>0</v>
      </c>
      <c r="D158" s="47">
        <v>0</v>
      </c>
      <c r="E158" s="43">
        <v>1</v>
      </c>
      <c r="F158" s="249" t="s">
        <v>91</v>
      </c>
      <c r="G158" s="43">
        <v>18</v>
      </c>
      <c r="H158" s="43">
        <v>10</v>
      </c>
      <c r="I158" s="26"/>
      <c r="J158" s="27">
        <f t="shared" si="9"/>
        <v>0</v>
      </c>
      <c r="K158" s="46"/>
      <c r="L158" s="46"/>
      <c r="M158" s="46"/>
      <c r="N158" s="29" t="s">
        <v>588</v>
      </c>
      <c r="O158" s="30" t="str">
        <f t="shared" si="1"/>
        <v>⬜ Aguardando 3º contato</v>
      </c>
      <c r="P158" s="32" t="str">
        <f t="shared" si="2"/>
        <v/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225"/>
      <c r="C159" s="47">
        <v>0</v>
      </c>
      <c r="D159" s="47">
        <v>0</v>
      </c>
      <c r="E159" s="43">
        <v>1</v>
      </c>
      <c r="F159" s="249" t="s">
        <v>92</v>
      </c>
      <c r="G159" s="43">
        <v>12</v>
      </c>
      <c r="H159" s="43">
        <v>10</v>
      </c>
      <c r="I159" s="26"/>
      <c r="J159" s="27">
        <f t="shared" si="9"/>
        <v>0</v>
      </c>
      <c r="K159" s="46"/>
      <c r="L159" s="46"/>
      <c r="M159" s="46"/>
      <c r="N159" s="29" t="s">
        <v>588</v>
      </c>
      <c r="O159" s="30" t="str">
        <f t="shared" si="1"/>
        <v>⬜ Aguardando 3º contato</v>
      </c>
      <c r="P159" s="32" t="str">
        <f t="shared" si="2"/>
        <v/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226" t="s">
        <v>93</v>
      </c>
      <c r="C160" s="35">
        <v>13</v>
      </c>
      <c r="D160" s="35">
        <v>2</v>
      </c>
      <c r="E160" s="35">
        <v>2</v>
      </c>
      <c r="F160" s="35" t="s">
        <v>576</v>
      </c>
      <c r="G160" s="34">
        <v>22</v>
      </c>
      <c r="H160" s="34">
        <v>20</v>
      </c>
      <c r="I160" s="36">
        <v>8</v>
      </c>
      <c r="J160" s="37">
        <f t="shared" si="9"/>
        <v>0.4</v>
      </c>
      <c r="K160" s="45">
        <v>45683</v>
      </c>
      <c r="L160" s="45"/>
      <c r="M160" s="45"/>
      <c r="N160" s="39" t="s">
        <v>262</v>
      </c>
      <c r="O160" s="40" t="str">
        <f t="shared" si="1"/>
        <v>⬜ Aguardando 3º contato</v>
      </c>
      <c r="P160" s="41" t="str">
        <f t="shared" si="2"/>
        <v>🚨 CRÍTICO: Alta incidência + baixo aproveitamento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252"/>
      <c r="C161" s="35">
        <v>0</v>
      </c>
      <c r="D161" s="35">
        <v>0</v>
      </c>
      <c r="E161" s="35"/>
      <c r="F161" s="35" t="s">
        <v>577</v>
      </c>
      <c r="G161" s="34">
        <v>22</v>
      </c>
      <c r="H161" s="34">
        <v>20</v>
      </c>
      <c r="I161" s="36"/>
      <c r="J161" s="37">
        <f t="shared" ref="J161" si="10">IF(OR(I161="",I161=0),0,I161/H161)</f>
        <v>0</v>
      </c>
      <c r="K161" s="45"/>
      <c r="L161" s="45"/>
      <c r="M161" s="45"/>
      <c r="N161" s="39" t="s">
        <v>588</v>
      </c>
      <c r="O161" s="40" t="str">
        <f t="shared" ref="O161" si="11">IF(OR(K161="",L161="",M161=""),"⬜ Aguardando 3º contato",IF(J161=0,"⬜ Sem acertos registrados",IF(J161&gt;0.9,"✅ Rever em "&amp;TEXT(M161+60,"dd/mm/aaaa"),IF(J161&gt;0.8001,"🔵 Rever em "&amp;TEXT(M161+45,"dd/mm/aaaa"),IF(J161&gt;0.7001,"🟡 Rever em "&amp;TEXT(M161+30,"dd/mm/aaaa"),"🔴 Rever em "&amp;TEXT(M161+7,"dd/mm/aaaa"))))))</f>
        <v>⬜ Aguardando 3º contato</v>
      </c>
      <c r="P161" s="41" t="str">
        <f t="shared" ref="P161" si="12">IF(J161=0,"",IF(AND(J161&lt;0.7,MAX(C161,D161)&gt;=4),"🚨 CRÍTICO: Alta incidência + baixo aproveitamento",IF(J161&lt;0.7,"⚠️ Baixo aproveitamento - revisar urgente",IF(AND(J161&lt;0.8,MAX(C161,D161)&gt;=4),"📌 Atenção: Alta incidência",""))))</f>
        <v/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224"/>
      <c r="C162" s="35">
        <v>1</v>
      </c>
      <c r="D162" s="35">
        <v>0</v>
      </c>
      <c r="E162" s="35">
        <v>3</v>
      </c>
      <c r="F162" s="35" t="s">
        <v>578</v>
      </c>
      <c r="G162" s="34">
        <v>32</v>
      </c>
      <c r="H162" s="34">
        <v>30</v>
      </c>
      <c r="I162" s="36"/>
      <c r="J162" s="37">
        <f t="shared" si="9"/>
        <v>0</v>
      </c>
      <c r="K162" s="45"/>
      <c r="L162" s="45"/>
      <c r="M162" s="45"/>
      <c r="N162" s="39" t="s">
        <v>212</v>
      </c>
      <c r="O162" s="40" t="str">
        <f t="shared" si="1"/>
        <v>⬜ Aguardando 3º contato</v>
      </c>
      <c r="P162" s="41" t="str">
        <f t="shared" si="2"/>
        <v/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224"/>
      <c r="C163" s="35">
        <v>0</v>
      </c>
      <c r="D163" s="35">
        <v>0</v>
      </c>
      <c r="E163" s="35">
        <v>2</v>
      </c>
      <c r="F163" s="35" t="s">
        <v>579</v>
      </c>
      <c r="G163" s="34">
        <v>18</v>
      </c>
      <c r="H163" s="34">
        <v>20</v>
      </c>
      <c r="I163" s="36"/>
      <c r="J163" s="37">
        <f t="shared" si="9"/>
        <v>0</v>
      </c>
      <c r="K163" s="45"/>
      <c r="L163" s="45"/>
      <c r="M163" s="45"/>
      <c r="N163" s="39" t="s">
        <v>588</v>
      </c>
      <c r="O163" s="40" t="str">
        <f t="shared" si="1"/>
        <v>⬜ Aguardando 3º contato</v>
      </c>
      <c r="P163" s="41" t="str">
        <f t="shared" si="2"/>
        <v/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224"/>
      <c r="C164" s="35">
        <v>1</v>
      </c>
      <c r="D164" s="35">
        <v>0</v>
      </c>
      <c r="E164" s="35">
        <v>1</v>
      </c>
      <c r="F164" s="35" t="s">
        <v>580</v>
      </c>
      <c r="G164" s="34">
        <v>11</v>
      </c>
      <c r="H164" s="34">
        <v>10</v>
      </c>
      <c r="I164" s="36"/>
      <c r="J164" s="37">
        <f t="shared" si="9"/>
        <v>0</v>
      </c>
      <c r="K164" s="45"/>
      <c r="L164" s="45"/>
      <c r="M164" s="45"/>
      <c r="N164" s="39" t="s">
        <v>263</v>
      </c>
      <c r="O164" s="40" t="str">
        <f t="shared" si="1"/>
        <v>⬜ Aguardando 3º contato</v>
      </c>
      <c r="P164" s="41" t="str">
        <f t="shared" si="2"/>
        <v/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224"/>
      <c r="C165" s="35">
        <v>0</v>
      </c>
      <c r="D165" s="35">
        <v>0</v>
      </c>
      <c r="E165" s="35">
        <v>3</v>
      </c>
      <c r="F165" s="35" t="s">
        <v>94</v>
      </c>
      <c r="G165" s="34">
        <v>45</v>
      </c>
      <c r="H165" s="34">
        <v>15</v>
      </c>
      <c r="I165" s="36">
        <v>11</v>
      </c>
      <c r="J165" s="37">
        <f t="shared" si="9"/>
        <v>0.73333333333333328</v>
      </c>
      <c r="K165" s="45">
        <v>46055</v>
      </c>
      <c r="L165" s="45"/>
      <c r="M165" s="45"/>
      <c r="N165" s="39" t="s">
        <v>588</v>
      </c>
      <c r="O165" s="40" t="str">
        <f t="shared" si="1"/>
        <v>⬜ Aguardando 3º contato</v>
      </c>
      <c r="P165" s="41" t="str">
        <f t="shared" si="2"/>
        <v/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224"/>
      <c r="C166" s="35">
        <v>0</v>
      </c>
      <c r="D166" s="35">
        <v>0</v>
      </c>
      <c r="E166" s="35">
        <v>2</v>
      </c>
      <c r="F166" s="35" t="s">
        <v>581</v>
      </c>
      <c r="G166" s="34">
        <v>22</v>
      </c>
      <c r="H166" s="34">
        <v>20</v>
      </c>
      <c r="I166" s="36"/>
      <c r="J166" s="37">
        <f t="shared" si="9"/>
        <v>0</v>
      </c>
      <c r="K166" s="45"/>
      <c r="L166" s="45"/>
      <c r="M166" s="45"/>
      <c r="N166" s="39" t="s">
        <v>588</v>
      </c>
      <c r="O166" s="40" t="str">
        <f t="shared" si="1"/>
        <v>⬜ Aguardando 3º contato</v>
      </c>
      <c r="P166" s="41" t="str">
        <f t="shared" si="2"/>
        <v/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224"/>
      <c r="C167" s="35">
        <v>0</v>
      </c>
      <c r="D167" s="35">
        <v>0</v>
      </c>
      <c r="E167" s="35">
        <v>1</v>
      </c>
      <c r="F167" s="35" t="s">
        <v>582</v>
      </c>
      <c r="G167" s="34">
        <v>28</v>
      </c>
      <c r="H167" s="34">
        <v>10</v>
      </c>
      <c r="I167" s="36"/>
      <c r="J167" s="37">
        <f t="shared" si="9"/>
        <v>0</v>
      </c>
      <c r="K167" s="45"/>
      <c r="L167" s="45"/>
      <c r="M167" s="45"/>
      <c r="N167" s="39" t="s">
        <v>588</v>
      </c>
      <c r="O167" s="40" t="str">
        <f t="shared" si="1"/>
        <v>⬜ Aguardando 3º contato</v>
      </c>
      <c r="P167" s="41" t="str">
        <f t="shared" si="2"/>
        <v/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224"/>
      <c r="C168" s="35">
        <v>0</v>
      </c>
      <c r="D168" s="35">
        <v>2</v>
      </c>
      <c r="E168" s="35">
        <v>1</v>
      </c>
      <c r="F168" s="35" t="s">
        <v>583</v>
      </c>
      <c r="G168" s="34">
        <v>45</v>
      </c>
      <c r="H168" s="34">
        <v>10</v>
      </c>
      <c r="I168" s="36"/>
      <c r="J168" s="37">
        <f t="shared" si="9"/>
        <v>0</v>
      </c>
      <c r="K168" s="45"/>
      <c r="L168" s="45"/>
      <c r="M168" s="45"/>
      <c r="N168" s="39" t="s">
        <v>591</v>
      </c>
      <c r="O168" s="40" t="str">
        <f t="shared" si="1"/>
        <v>⬜ Aguardando 3º contato</v>
      </c>
      <c r="P168" s="41" t="str">
        <f t="shared" si="2"/>
        <v/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227"/>
      <c r="C169" s="35">
        <v>0</v>
      </c>
      <c r="D169" s="35">
        <v>0</v>
      </c>
      <c r="E169" s="35">
        <v>1</v>
      </c>
      <c r="F169" s="35" t="s">
        <v>584</v>
      </c>
      <c r="G169" s="34">
        <v>20</v>
      </c>
      <c r="H169" s="34">
        <v>10</v>
      </c>
      <c r="I169" s="36"/>
      <c r="J169" s="37">
        <f t="shared" si="9"/>
        <v>0</v>
      </c>
      <c r="K169" s="45"/>
      <c r="L169" s="45"/>
      <c r="M169" s="45"/>
      <c r="N169" s="39" t="s">
        <v>588</v>
      </c>
      <c r="O169" s="40" t="str">
        <f t="shared" si="1"/>
        <v>⬜ Aguardando 3º contato</v>
      </c>
      <c r="P169" s="41" t="str">
        <f t="shared" si="2"/>
        <v/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223" t="s">
        <v>95</v>
      </c>
      <c r="C170" s="47">
        <v>4</v>
      </c>
      <c r="D170" s="249">
        <v>4</v>
      </c>
      <c r="E170" s="43">
        <v>4</v>
      </c>
      <c r="F170" s="249" t="s">
        <v>96</v>
      </c>
      <c r="G170" s="43">
        <v>31</v>
      </c>
      <c r="H170" s="43">
        <v>40</v>
      </c>
      <c r="I170" s="26">
        <v>29</v>
      </c>
      <c r="J170" s="27">
        <f t="shared" si="9"/>
        <v>0.72499999999999998</v>
      </c>
      <c r="K170" s="46">
        <v>46132</v>
      </c>
      <c r="L170" s="46">
        <v>46145</v>
      </c>
      <c r="M170" s="46">
        <v>46164</v>
      </c>
      <c r="N170" s="29" t="s">
        <v>354</v>
      </c>
      <c r="O170" s="30" t="str">
        <f t="shared" si="1"/>
        <v>🟡 Rever em 21/06/2026</v>
      </c>
      <c r="P170" s="32" t="str">
        <f t="shared" si="2"/>
        <v>📌 Atenção: Alta incidência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224"/>
      <c r="C171" s="47">
        <v>2</v>
      </c>
      <c r="D171" s="250">
        <v>0</v>
      </c>
      <c r="E171" s="43">
        <v>4</v>
      </c>
      <c r="F171" s="249" t="s">
        <v>97</v>
      </c>
      <c r="G171" s="43">
        <v>37</v>
      </c>
      <c r="H171" s="43">
        <v>40</v>
      </c>
      <c r="I171" s="26"/>
      <c r="J171" s="27">
        <f t="shared" si="9"/>
        <v>0</v>
      </c>
      <c r="K171" s="46"/>
      <c r="L171" s="46"/>
      <c r="M171" s="46"/>
      <c r="N171" s="29" t="s">
        <v>355</v>
      </c>
      <c r="O171" s="30" t="str">
        <f t="shared" si="1"/>
        <v>⬜ Aguardando 3º contato</v>
      </c>
      <c r="P171" s="32" t="str">
        <f t="shared" si="2"/>
        <v/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224"/>
      <c r="C172" s="47">
        <v>1</v>
      </c>
      <c r="D172" s="47">
        <v>2</v>
      </c>
      <c r="E172" s="43">
        <v>2</v>
      </c>
      <c r="F172" s="249" t="s">
        <v>585</v>
      </c>
      <c r="G172" s="43">
        <v>33</v>
      </c>
      <c r="H172" s="43">
        <v>20</v>
      </c>
      <c r="I172" s="26"/>
      <c r="J172" s="27">
        <f t="shared" si="9"/>
        <v>0</v>
      </c>
      <c r="K172" s="46"/>
      <c r="L172" s="46"/>
      <c r="M172" s="46"/>
      <c r="N172" s="29" t="s">
        <v>256</v>
      </c>
      <c r="O172" s="30" t="str">
        <f t="shared" si="1"/>
        <v>⬜ Aguardando 3º contato</v>
      </c>
      <c r="P172" s="32" t="str">
        <f t="shared" si="2"/>
        <v/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224"/>
      <c r="C173" s="47">
        <v>1</v>
      </c>
      <c r="D173" s="47">
        <v>0</v>
      </c>
      <c r="E173" s="43">
        <v>1</v>
      </c>
      <c r="F173" s="249" t="s">
        <v>98</v>
      </c>
      <c r="G173" s="43">
        <v>14</v>
      </c>
      <c r="H173" s="43">
        <v>20</v>
      </c>
      <c r="I173" s="26"/>
      <c r="J173" s="27">
        <f t="shared" si="9"/>
        <v>0</v>
      </c>
      <c r="K173" s="46"/>
      <c r="L173" s="46"/>
      <c r="M173" s="46"/>
      <c r="N173" s="29" t="s">
        <v>257</v>
      </c>
      <c r="O173" s="30" t="str">
        <f t="shared" si="1"/>
        <v>⬜ Aguardando 3º contato</v>
      </c>
      <c r="P173" s="32" t="str">
        <f t="shared" si="2"/>
        <v/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224"/>
      <c r="C174" s="47">
        <v>2</v>
      </c>
      <c r="D174" s="47">
        <v>2</v>
      </c>
      <c r="E174" s="43">
        <v>4</v>
      </c>
      <c r="F174" s="249" t="s">
        <v>587</v>
      </c>
      <c r="G174" s="43">
        <v>32</v>
      </c>
      <c r="H174" s="43">
        <v>40</v>
      </c>
      <c r="I174" s="26"/>
      <c r="J174" s="27">
        <f t="shared" si="9"/>
        <v>0</v>
      </c>
      <c r="K174" s="46"/>
      <c r="L174" s="46"/>
      <c r="M174" s="46"/>
      <c r="N174" s="29" t="s">
        <v>298</v>
      </c>
      <c r="O174" s="30" t="str">
        <f t="shared" si="1"/>
        <v>⬜ Aguardando 3º contato</v>
      </c>
      <c r="P174" s="32" t="str">
        <f t="shared" si="2"/>
        <v/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225"/>
      <c r="C175" s="47">
        <v>0</v>
      </c>
      <c r="D175" s="47">
        <v>0</v>
      </c>
      <c r="E175" s="43">
        <v>2</v>
      </c>
      <c r="F175" s="249" t="s">
        <v>100</v>
      </c>
      <c r="G175" s="43">
        <v>14</v>
      </c>
      <c r="H175" s="43">
        <v>20</v>
      </c>
      <c r="I175" s="48"/>
      <c r="J175" s="27">
        <f t="shared" si="9"/>
        <v>0</v>
      </c>
      <c r="K175" s="49"/>
      <c r="L175" s="49"/>
      <c r="M175" s="49"/>
      <c r="N175" s="50" t="s">
        <v>588</v>
      </c>
      <c r="O175" s="30" t="str">
        <f t="shared" si="1"/>
        <v>⬜ Aguardando 3º contato</v>
      </c>
      <c r="P175" s="51" t="str">
        <f t="shared" si="2"/>
        <v/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52"/>
      <c r="C176" s="53"/>
      <c r="D176" s="53"/>
      <c r="E176" s="206" t="s">
        <v>101</v>
      </c>
      <c r="F176" s="207"/>
      <c r="G176" s="54">
        <v>76.599999999999994</v>
      </c>
      <c r="H176" s="55">
        <v>4170</v>
      </c>
      <c r="I176" s="55"/>
      <c r="J176" s="55"/>
      <c r="K176" s="52"/>
      <c r="L176" s="52"/>
      <c r="M176" s="52"/>
      <c r="N176" s="56"/>
      <c r="O176" s="57"/>
      <c r="P176" s="5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52"/>
      <c r="C177" s="52"/>
      <c r="D177" s="52"/>
      <c r="E177" s="52"/>
      <c r="F177" s="52"/>
      <c r="G177" s="58" t="s">
        <v>102</v>
      </c>
      <c r="H177" s="59" t="s">
        <v>103</v>
      </c>
      <c r="I177" s="59"/>
      <c r="J177" s="59"/>
      <c r="K177" s="52"/>
      <c r="L177" s="52"/>
      <c r="M177" s="52"/>
      <c r="N177" s="56"/>
      <c r="O177" s="57"/>
      <c r="P177" s="5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60"/>
      <c r="C178" s="3"/>
      <c r="D178" s="3"/>
      <c r="E178" s="3"/>
      <c r="F178" s="60"/>
      <c r="G178" s="3"/>
      <c r="H178" s="3"/>
      <c r="I178" s="3"/>
      <c r="J178" s="3"/>
      <c r="K178" s="61"/>
      <c r="L178" s="61"/>
      <c r="M178" s="61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60"/>
      <c r="C179" s="3"/>
      <c r="D179" s="3"/>
      <c r="E179" s="3"/>
      <c r="F179" s="60"/>
      <c r="G179" s="3"/>
      <c r="H179" s="3"/>
      <c r="I179" s="3"/>
      <c r="J179" s="3"/>
      <c r="K179" s="61"/>
      <c r="L179" s="61"/>
      <c r="M179" s="61"/>
      <c r="N179" s="4"/>
      <c r="O179" s="4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60"/>
      <c r="C180" s="3"/>
      <c r="D180" s="3"/>
      <c r="E180" s="3"/>
      <c r="F180" s="60"/>
      <c r="G180" s="3"/>
      <c r="H180" s="3"/>
      <c r="I180" s="3"/>
      <c r="J180" s="3"/>
      <c r="K180" s="61"/>
      <c r="L180" s="61"/>
      <c r="M180" s="61"/>
      <c r="N180" s="4"/>
      <c r="O180" s="4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60"/>
      <c r="C181" s="3"/>
      <c r="D181" s="3"/>
      <c r="E181" s="3"/>
      <c r="F181" s="60"/>
      <c r="G181" s="3"/>
      <c r="H181" s="3"/>
      <c r="I181" s="3"/>
      <c r="J181" s="3"/>
      <c r="K181" s="61"/>
      <c r="L181" s="61"/>
      <c r="M181" s="61"/>
      <c r="N181" s="4"/>
      <c r="O181" s="4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60"/>
      <c r="C182" s="3"/>
      <c r="D182" s="3"/>
      <c r="E182" s="3"/>
      <c r="F182" s="60"/>
      <c r="G182" s="3"/>
      <c r="H182" s="3"/>
      <c r="I182" s="3"/>
      <c r="J182" s="3"/>
      <c r="K182" s="61"/>
      <c r="L182" s="61"/>
      <c r="M182" s="61"/>
      <c r="N182" s="4" t="s">
        <v>104</v>
      </c>
      <c r="O182" s="4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60"/>
      <c r="C183" s="3"/>
      <c r="D183" s="3"/>
      <c r="E183" s="3"/>
      <c r="F183" s="60"/>
      <c r="G183" s="3"/>
      <c r="H183" s="3"/>
      <c r="I183" s="3"/>
      <c r="J183" s="3"/>
      <c r="K183" s="61"/>
      <c r="L183" s="61"/>
      <c r="M183" s="61"/>
      <c r="N183" s="4"/>
      <c r="O183" s="4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60"/>
      <c r="C184" s="3"/>
      <c r="D184" s="3"/>
      <c r="E184" s="3"/>
      <c r="F184" s="60"/>
      <c r="G184" s="3"/>
      <c r="H184" s="3"/>
      <c r="I184" s="3"/>
      <c r="J184" s="3"/>
      <c r="K184" s="61"/>
      <c r="L184" s="61"/>
      <c r="M184" s="61"/>
      <c r="N184" s="4"/>
      <c r="O184" s="4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60"/>
      <c r="C185" s="3"/>
      <c r="D185" s="3"/>
      <c r="E185" s="3"/>
      <c r="F185" s="60"/>
      <c r="G185" s="3"/>
      <c r="H185" s="3"/>
      <c r="I185" s="3"/>
      <c r="J185" s="3"/>
      <c r="K185" s="61"/>
      <c r="L185" s="61"/>
      <c r="M185" s="61"/>
      <c r="N185" s="4"/>
      <c r="O185" s="4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60"/>
      <c r="C186" s="3"/>
      <c r="D186" s="3"/>
      <c r="E186" s="3"/>
      <c r="F186" s="60"/>
      <c r="G186" s="3"/>
      <c r="H186" s="3"/>
      <c r="I186" s="3"/>
      <c r="J186" s="3"/>
      <c r="K186" s="61"/>
      <c r="L186" s="61"/>
      <c r="M186" s="61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60"/>
      <c r="C187" s="3"/>
      <c r="D187" s="3"/>
      <c r="E187" s="3"/>
      <c r="F187" s="60"/>
      <c r="G187" s="3"/>
      <c r="H187" s="3"/>
      <c r="I187" s="3"/>
      <c r="J187" s="3"/>
      <c r="K187" s="61"/>
      <c r="L187" s="61"/>
      <c r="M187" s="61"/>
      <c r="N187" s="4"/>
      <c r="O187" s="4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60"/>
      <c r="C188" s="3"/>
      <c r="D188" s="3"/>
      <c r="E188" s="3"/>
      <c r="F188" s="60"/>
      <c r="G188" s="3"/>
      <c r="H188" s="3"/>
      <c r="I188" s="3"/>
      <c r="J188" s="3"/>
      <c r="K188" s="61"/>
      <c r="L188" s="61"/>
      <c r="M188" s="61"/>
      <c r="N188" s="4"/>
      <c r="O188" s="4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60"/>
      <c r="C189" s="3"/>
      <c r="D189" s="3"/>
      <c r="E189" s="3"/>
      <c r="F189" s="60"/>
      <c r="G189" s="3"/>
      <c r="H189" s="3"/>
      <c r="I189" s="3"/>
      <c r="J189" s="3"/>
      <c r="K189" s="61"/>
      <c r="L189" s="61"/>
      <c r="M189" s="61"/>
      <c r="N189" s="4"/>
      <c r="O189" s="4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60"/>
      <c r="C190" s="3"/>
      <c r="D190" s="3"/>
      <c r="E190" s="3"/>
      <c r="F190" s="60"/>
      <c r="G190" s="3"/>
      <c r="H190" s="3"/>
      <c r="I190" s="3"/>
      <c r="J190" s="3"/>
      <c r="K190" s="61"/>
      <c r="L190" s="61"/>
      <c r="M190" s="61"/>
      <c r="N190" s="4"/>
      <c r="O190" s="4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60"/>
      <c r="C191" s="3"/>
      <c r="D191" s="3"/>
      <c r="E191" s="3"/>
      <c r="F191" s="60"/>
      <c r="G191" s="3"/>
      <c r="H191" s="3"/>
      <c r="I191" s="3"/>
      <c r="J191" s="3"/>
      <c r="K191" s="61"/>
      <c r="L191" s="61"/>
      <c r="M191" s="61"/>
      <c r="N191" s="4"/>
      <c r="O191" s="4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60"/>
      <c r="C192" s="3"/>
      <c r="D192" s="3"/>
      <c r="E192" s="3"/>
      <c r="F192" s="60"/>
      <c r="G192" s="3"/>
      <c r="H192" s="3"/>
      <c r="I192" s="3"/>
      <c r="J192" s="3"/>
      <c r="K192" s="3"/>
      <c r="L192" s="3"/>
      <c r="M192" s="3"/>
      <c r="N192" s="4"/>
      <c r="O192" s="4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60"/>
      <c r="C193" s="3"/>
      <c r="D193" s="3"/>
      <c r="E193" s="3"/>
      <c r="F193" s="60"/>
      <c r="G193" s="3"/>
      <c r="H193" s="3"/>
      <c r="I193" s="3"/>
      <c r="J193" s="3"/>
      <c r="K193" s="3"/>
      <c r="L193" s="3"/>
      <c r="M193" s="3"/>
      <c r="N193" s="4"/>
      <c r="O193" s="4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60"/>
      <c r="C194" s="3"/>
      <c r="D194" s="3"/>
      <c r="E194" s="3"/>
      <c r="F194" s="60"/>
      <c r="G194" s="3"/>
      <c r="H194" s="3"/>
      <c r="I194" s="3"/>
      <c r="J194" s="3"/>
      <c r="K194" s="3"/>
      <c r="L194" s="3"/>
      <c r="M194" s="3"/>
      <c r="N194" s="4"/>
      <c r="O194" s="4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60"/>
      <c r="C195" s="3"/>
      <c r="D195" s="3"/>
      <c r="E195" s="3"/>
      <c r="F195" s="60"/>
      <c r="G195" s="3"/>
      <c r="H195" s="3"/>
      <c r="I195" s="3"/>
      <c r="J195" s="3"/>
      <c r="K195" s="3"/>
      <c r="L195" s="3"/>
      <c r="M195" s="3"/>
      <c r="N195" s="4"/>
      <c r="O195" s="4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60"/>
      <c r="C196" s="3"/>
      <c r="D196" s="3"/>
      <c r="E196" s="3"/>
      <c r="F196" s="60"/>
      <c r="G196" s="3"/>
      <c r="H196" s="3"/>
      <c r="I196" s="3"/>
      <c r="J196" s="3"/>
      <c r="K196" s="3"/>
      <c r="L196" s="3"/>
      <c r="M196" s="3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60"/>
      <c r="C197" s="3"/>
      <c r="D197" s="3"/>
      <c r="E197" s="3"/>
      <c r="F197" s="60"/>
      <c r="G197" s="3"/>
      <c r="H197" s="3"/>
      <c r="I197" s="3"/>
      <c r="J197" s="3"/>
      <c r="K197" s="3"/>
      <c r="L197" s="3"/>
      <c r="M197" s="3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60"/>
      <c r="C198" s="3"/>
      <c r="D198" s="3"/>
      <c r="E198" s="3"/>
      <c r="F198" s="60"/>
      <c r="G198" s="3"/>
      <c r="H198" s="3"/>
      <c r="I198" s="3"/>
      <c r="J198" s="3"/>
      <c r="K198" s="3"/>
      <c r="L198" s="3"/>
      <c r="M198" s="3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60"/>
      <c r="C199" s="3"/>
      <c r="D199" s="3"/>
      <c r="E199" s="3"/>
      <c r="F199" s="60"/>
      <c r="G199" s="3"/>
      <c r="H199" s="3"/>
      <c r="I199" s="3"/>
      <c r="J199" s="3"/>
      <c r="K199" s="3"/>
      <c r="L199" s="3"/>
      <c r="M199" s="3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60"/>
      <c r="C200" s="3"/>
      <c r="D200" s="3"/>
      <c r="E200" s="3"/>
      <c r="F200" s="60"/>
      <c r="G200" s="3"/>
      <c r="H200" s="3"/>
      <c r="I200" s="3"/>
      <c r="J200" s="3"/>
      <c r="K200" s="3"/>
      <c r="L200" s="3"/>
      <c r="M200" s="3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60"/>
      <c r="C201" s="3"/>
      <c r="D201" s="3"/>
      <c r="E201" s="3"/>
      <c r="F201" s="60"/>
      <c r="G201" s="3"/>
      <c r="H201" s="3"/>
      <c r="I201" s="3"/>
      <c r="J201" s="3"/>
      <c r="K201" s="3"/>
      <c r="L201" s="3"/>
      <c r="M201" s="3"/>
      <c r="N201" s="4"/>
      <c r="O201" s="4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60"/>
      <c r="C202" s="3"/>
      <c r="D202" s="3"/>
      <c r="E202" s="3"/>
      <c r="F202" s="60"/>
      <c r="G202" s="3"/>
      <c r="H202" s="3"/>
      <c r="I202" s="3"/>
      <c r="J202" s="3"/>
      <c r="K202" s="3"/>
      <c r="L202" s="3"/>
      <c r="M202" s="3"/>
      <c r="N202" s="4"/>
      <c r="O202" s="4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2"/>
      <c r="D203" s="2"/>
      <c r="E203" s="2"/>
      <c r="F203" s="1"/>
      <c r="G203" s="3"/>
      <c r="H203" s="3"/>
      <c r="I203" s="3"/>
      <c r="J203" s="3"/>
      <c r="K203" s="3"/>
      <c r="L203" s="3"/>
      <c r="M203" s="3"/>
      <c r="N203" s="4"/>
      <c r="O203" s="4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2"/>
      <c r="D204" s="2"/>
      <c r="E204" s="2"/>
      <c r="F204" s="1"/>
      <c r="G204" s="3"/>
      <c r="H204" s="3"/>
      <c r="I204" s="3"/>
      <c r="J204" s="3"/>
      <c r="K204" s="3"/>
      <c r="L204" s="3"/>
      <c r="M204" s="3"/>
      <c r="N204" s="4"/>
      <c r="O204" s="4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2"/>
      <c r="D205" s="2"/>
      <c r="E205" s="2"/>
      <c r="F205" s="1"/>
      <c r="G205" s="3"/>
      <c r="H205" s="3"/>
      <c r="I205" s="3"/>
      <c r="J205" s="3"/>
      <c r="K205" s="3"/>
      <c r="L205" s="3"/>
      <c r="M205" s="3"/>
      <c r="N205" s="4"/>
      <c r="O205" s="4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2"/>
      <c r="D206" s="2"/>
      <c r="E206" s="2"/>
      <c r="F206" s="1"/>
      <c r="G206" s="3"/>
      <c r="H206" s="3"/>
      <c r="I206" s="3"/>
      <c r="J206" s="3"/>
      <c r="K206" s="3"/>
      <c r="L206" s="3"/>
      <c r="M206" s="3"/>
      <c r="N206" s="4"/>
      <c r="O206" s="4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2"/>
      <c r="D207" s="2"/>
      <c r="E207" s="2"/>
      <c r="F207" s="1"/>
      <c r="G207" s="3"/>
      <c r="H207" s="3"/>
      <c r="I207" s="3"/>
      <c r="J207" s="3"/>
      <c r="K207" s="3"/>
      <c r="L207" s="3"/>
      <c r="M207" s="3"/>
      <c r="N207" s="4"/>
      <c r="O207" s="4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2"/>
      <c r="D208" s="2"/>
      <c r="E208" s="2"/>
      <c r="F208" s="1"/>
      <c r="G208" s="3"/>
      <c r="H208" s="3"/>
      <c r="I208" s="3"/>
      <c r="J208" s="3"/>
      <c r="K208" s="3"/>
      <c r="L208" s="3"/>
      <c r="M208" s="3"/>
      <c r="N208" s="4"/>
      <c r="O208" s="4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2"/>
      <c r="D209" s="2"/>
      <c r="E209" s="2"/>
      <c r="F209" s="1"/>
      <c r="G209" s="3"/>
      <c r="H209" s="3"/>
      <c r="I209" s="3"/>
      <c r="J209" s="3"/>
      <c r="K209" s="3"/>
      <c r="L209" s="3"/>
      <c r="M209" s="3"/>
      <c r="N209" s="4"/>
      <c r="O209" s="4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2"/>
      <c r="D210" s="2"/>
      <c r="E210" s="2"/>
      <c r="F210" s="1"/>
      <c r="G210" s="3"/>
      <c r="H210" s="3"/>
      <c r="I210" s="3"/>
      <c r="J210" s="3"/>
      <c r="K210" s="3"/>
      <c r="L210" s="3"/>
      <c r="M210" s="3"/>
      <c r="N210" s="4"/>
      <c r="O210" s="4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2"/>
      <c r="D211" s="2"/>
      <c r="E211" s="2"/>
      <c r="F211" s="1"/>
      <c r="G211" s="3"/>
      <c r="H211" s="3"/>
      <c r="I211" s="3"/>
      <c r="J211" s="3"/>
      <c r="K211" s="3"/>
      <c r="L211" s="3"/>
      <c r="M211" s="3"/>
      <c r="N211" s="4"/>
      <c r="O211" s="4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2"/>
      <c r="D212" s="2"/>
      <c r="E212" s="2"/>
      <c r="F212" s="1"/>
      <c r="G212" s="3"/>
      <c r="H212" s="3"/>
      <c r="I212" s="3"/>
      <c r="J212" s="3"/>
      <c r="K212" s="3"/>
      <c r="L212" s="3"/>
      <c r="M212" s="3"/>
      <c r="N212" s="4"/>
      <c r="O212" s="4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2"/>
      <c r="D213" s="2"/>
      <c r="E213" s="2"/>
      <c r="F213" s="1"/>
      <c r="G213" s="3"/>
      <c r="H213" s="3"/>
      <c r="I213" s="3"/>
      <c r="J213" s="3"/>
      <c r="K213" s="3"/>
      <c r="L213" s="3"/>
      <c r="M213" s="3"/>
      <c r="N213" s="4"/>
      <c r="O213" s="4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2"/>
      <c r="D214" s="2"/>
      <c r="E214" s="2"/>
      <c r="F214" s="1"/>
      <c r="G214" s="3"/>
      <c r="H214" s="3"/>
      <c r="I214" s="3"/>
      <c r="J214" s="3"/>
      <c r="K214" s="3"/>
      <c r="L214" s="3"/>
      <c r="M214" s="3"/>
      <c r="N214" s="4"/>
      <c r="O214" s="4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2"/>
      <c r="D215" s="2"/>
      <c r="E215" s="2"/>
      <c r="F215" s="1"/>
      <c r="G215" s="3"/>
      <c r="H215" s="3"/>
      <c r="I215" s="3"/>
      <c r="J215" s="3"/>
      <c r="K215" s="3"/>
      <c r="L215" s="3"/>
      <c r="M215" s="3"/>
      <c r="N215" s="4"/>
      <c r="O215" s="4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2"/>
      <c r="D216" s="2"/>
      <c r="E216" s="2"/>
      <c r="F216" s="1"/>
      <c r="G216" s="3"/>
      <c r="H216" s="3"/>
      <c r="I216" s="3"/>
      <c r="J216" s="3"/>
      <c r="K216" s="3"/>
      <c r="L216" s="3"/>
      <c r="M216" s="3"/>
      <c r="N216" s="4"/>
      <c r="O216" s="4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2"/>
      <c r="D217" s="2"/>
      <c r="E217" s="2"/>
      <c r="F217" s="1"/>
      <c r="G217" s="3"/>
      <c r="H217" s="3"/>
      <c r="I217" s="3"/>
      <c r="J217" s="3"/>
      <c r="K217" s="3"/>
      <c r="L217" s="3"/>
      <c r="M217" s="3"/>
      <c r="N217" s="4"/>
      <c r="O217" s="4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2"/>
      <c r="D218" s="2"/>
      <c r="E218" s="2"/>
      <c r="F218" s="1"/>
      <c r="G218" s="3"/>
      <c r="H218" s="3"/>
      <c r="I218" s="3"/>
      <c r="J218" s="3"/>
      <c r="K218" s="3"/>
      <c r="L218" s="3"/>
      <c r="M218" s="3"/>
      <c r="N218" s="4"/>
      <c r="O218" s="4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2"/>
      <c r="D219" s="2"/>
      <c r="E219" s="2"/>
      <c r="F219" s="1"/>
      <c r="G219" s="3"/>
      <c r="H219" s="3"/>
      <c r="I219" s="3"/>
      <c r="J219" s="3"/>
      <c r="K219" s="3"/>
      <c r="L219" s="3"/>
      <c r="M219" s="3"/>
      <c r="N219" s="4"/>
      <c r="O219" s="4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2"/>
      <c r="D220" s="2"/>
      <c r="E220" s="2"/>
      <c r="F220" s="1"/>
      <c r="G220" s="3"/>
      <c r="H220" s="3"/>
      <c r="I220" s="3"/>
      <c r="J220" s="3"/>
      <c r="K220" s="3"/>
      <c r="L220" s="3"/>
      <c r="M220" s="3"/>
      <c r="N220" s="4"/>
      <c r="O220" s="4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2"/>
      <c r="D221" s="2"/>
      <c r="E221" s="2"/>
      <c r="F221" s="1"/>
      <c r="G221" s="3"/>
      <c r="H221" s="3"/>
      <c r="I221" s="3"/>
      <c r="J221" s="3"/>
      <c r="K221" s="3"/>
      <c r="L221" s="3"/>
      <c r="M221" s="3"/>
      <c r="N221" s="4"/>
      <c r="O221" s="4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2"/>
      <c r="D222" s="2"/>
      <c r="E222" s="2"/>
      <c r="F222" s="1"/>
      <c r="G222" s="3"/>
      <c r="H222" s="3"/>
      <c r="I222" s="3"/>
      <c r="J222" s="3"/>
      <c r="K222" s="3"/>
      <c r="L222" s="3"/>
      <c r="M222" s="3"/>
      <c r="N222" s="4"/>
      <c r="O222" s="4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2"/>
      <c r="D223" s="2"/>
      <c r="E223" s="2"/>
      <c r="F223" s="1"/>
      <c r="G223" s="3"/>
      <c r="H223" s="3"/>
      <c r="I223" s="3"/>
      <c r="J223" s="3"/>
      <c r="K223" s="3"/>
      <c r="L223" s="3"/>
      <c r="M223" s="3"/>
      <c r="N223" s="4"/>
      <c r="O223" s="4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2"/>
      <c r="D224" s="2"/>
      <c r="E224" s="2"/>
      <c r="F224" s="1"/>
      <c r="G224" s="3"/>
      <c r="H224" s="3"/>
      <c r="I224" s="3"/>
      <c r="J224" s="3"/>
      <c r="K224" s="3"/>
      <c r="L224" s="3"/>
      <c r="M224" s="3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2"/>
      <c r="D225" s="2"/>
      <c r="E225" s="2"/>
      <c r="F225" s="1"/>
      <c r="G225" s="3"/>
      <c r="H225" s="3"/>
      <c r="I225" s="3"/>
      <c r="J225" s="3"/>
      <c r="K225" s="3"/>
      <c r="L225" s="3"/>
      <c r="M225" s="3"/>
      <c r="N225" s="4"/>
      <c r="O225" s="4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2"/>
      <c r="D226" s="2"/>
      <c r="E226" s="2"/>
      <c r="F226" s="1"/>
      <c r="G226" s="3"/>
      <c r="H226" s="3"/>
      <c r="I226" s="3"/>
      <c r="J226" s="3"/>
      <c r="K226" s="3"/>
      <c r="L226" s="3"/>
      <c r="M226" s="3"/>
      <c r="N226" s="4"/>
      <c r="O226" s="4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2"/>
      <c r="D227" s="2"/>
      <c r="E227" s="2"/>
      <c r="F227" s="1"/>
      <c r="G227" s="3"/>
      <c r="H227" s="3"/>
      <c r="I227" s="3"/>
      <c r="J227" s="3"/>
      <c r="K227" s="3"/>
      <c r="L227" s="3"/>
      <c r="M227" s="3"/>
      <c r="N227" s="4"/>
      <c r="O227" s="4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2"/>
      <c r="D228" s="2"/>
      <c r="E228" s="2"/>
      <c r="F228" s="1"/>
      <c r="G228" s="3"/>
      <c r="H228" s="3"/>
      <c r="I228" s="3"/>
      <c r="J228" s="3"/>
      <c r="K228" s="3"/>
      <c r="L228" s="3"/>
      <c r="M228" s="3"/>
      <c r="N228" s="4"/>
      <c r="O228" s="4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2"/>
      <c r="D229" s="2"/>
      <c r="E229" s="2"/>
      <c r="F229" s="1"/>
      <c r="G229" s="3"/>
      <c r="H229" s="3"/>
      <c r="I229" s="3"/>
      <c r="J229" s="3"/>
      <c r="K229" s="3"/>
      <c r="L229" s="3"/>
      <c r="M229" s="3"/>
      <c r="N229" s="4"/>
      <c r="O229" s="4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2"/>
      <c r="D230" s="2"/>
      <c r="E230" s="2"/>
      <c r="F230" s="1"/>
      <c r="G230" s="3"/>
      <c r="H230" s="3"/>
      <c r="I230" s="3"/>
      <c r="J230" s="3"/>
      <c r="K230" s="3"/>
      <c r="L230" s="3"/>
      <c r="M230" s="3"/>
      <c r="N230" s="4"/>
      <c r="O230" s="4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2"/>
      <c r="D231" s="2"/>
      <c r="E231" s="2"/>
      <c r="F231" s="1"/>
      <c r="G231" s="3"/>
      <c r="H231" s="3"/>
      <c r="I231" s="3"/>
      <c r="J231" s="3"/>
      <c r="K231" s="3"/>
      <c r="L231" s="3"/>
      <c r="M231" s="3"/>
      <c r="N231" s="4"/>
      <c r="O231" s="4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2"/>
      <c r="D232" s="2"/>
      <c r="E232" s="2"/>
      <c r="F232" s="1"/>
      <c r="G232" s="3"/>
      <c r="H232" s="3"/>
      <c r="I232" s="3"/>
      <c r="J232" s="3"/>
      <c r="K232" s="3"/>
      <c r="L232" s="3"/>
      <c r="M232" s="3"/>
      <c r="N232" s="4"/>
      <c r="O232" s="4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2"/>
      <c r="D233" s="2"/>
      <c r="E233" s="2"/>
      <c r="F233" s="1"/>
      <c r="G233" s="3"/>
      <c r="H233" s="3"/>
      <c r="I233" s="3"/>
      <c r="J233" s="3"/>
      <c r="K233" s="3"/>
      <c r="L233" s="3"/>
      <c r="M233" s="3"/>
      <c r="N233" s="4"/>
      <c r="O233" s="4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2"/>
      <c r="D234" s="2"/>
      <c r="E234" s="2"/>
      <c r="F234" s="1"/>
      <c r="G234" s="3"/>
      <c r="H234" s="3"/>
      <c r="I234" s="3"/>
      <c r="J234" s="3"/>
      <c r="K234" s="3"/>
      <c r="L234" s="3"/>
      <c r="M234" s="3"/>
      <c r="N234" s="4"/>
      <c r="O234" s="4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2"/>
      <c r="D235" s="2"/>
      <c r="E235" s="2"/>
      <c r="F235" s="1"/>
      <c r="G235" s="3"/>
      <c r="H235" s="3"/>
      <c r="I235" s="3"/>
      <c r="J235" s="3"/>
      <c r="K235" s="3"/>
      <c r="L235" s="3"/>
      <c r="M235" s="3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2"/>
      <c r="D236" s="2"/>
      <c r="E236" s="2"/>
      <c r="F236" s="1"/>
      <c r="G236" s="3"/>
      <c r="H236" s="3"/>
      <c r="I236" s="3"/>
      <c r="J236" s="3"/>
      <c r="K236" s="3"/>
      <c r="L236" s="3"/>
      <c r="M236" s="3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2"/>
      <c r="D237" s="2"/>
      <c r="E237" s="2"/>
      <c r="F237" s="1"/>
      <c r="G237" s="3"/>
      <c r="H237" s="3"/>
      <c r="I237" s="3"/>
      <c r="J237" s="3"/>
      <c r="K237" s="3"/>
      <c r="L237" s="3"/>
      <c r="M237" s="3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2"/>
      <c r="D238" s="2"/>
      <c r="E238" s="2"/>
      <c r="F238" s="1"/>
      <c r="G238" s="3"/>
      <c r="H238" s="3"/>
      <c r="I238" s="3"/>
      <c r="J238" s="3"/>
      <c r="K238" s="3"/>
      <c r="L238" s="3"/>
      <c r="M238" s="3"/>
      <c r="N238" s="4"/>
      <c r="O238" s="4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2"/>
      <c r="D239" s="2"/>
      <c r="E239" s="2"/>
      <c r="F239" s="1"/>
      <c r="G239" s="3"/>
      <c r="H239" s="3"/>
      <c r="I239" s="3"/>
      <c r="J239" s="3"/>
      <c r="K239" s="3"/>
      <c r="L239" s="3"/>
      <c r="M239" s="3"/>
      <c r="N239" s="4"/>
      <c r="O239" s="4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2"/>
      <c r="D240" s="2"/>
      <c r="E240" s="2"/>
      <c r="F240" s="1"/>
      <c r="G240" s="3"/>
      <c r="H240" s="3"/>
      <c r="I240" s="3"/>
      <c r="J240" s="3"/>
      <c r="K240" s="3"/>
      <c r="L240" s="3"/>
      <c r="M240" s="3"/>
      <c r="N240" s="4"/>
      <c r="O240" s="4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2"/>
      <c r="D241" s="2"/>
      <c r="E241" s="2"/>
      <c r="F241" s="1"/>
      <c r="G241" s="3"/>
      <c r="H241" s="3"/>
      <c r="I241" s="3"/>
      <c r="J241" s="3"/>
      <c r="K241" s="3"/>
      <c r="L241" s="3"/>
      <c r="M241" s="3"/>
      <c r="N241" s="4"/>
      <c r="O241" s="4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2"/>
      <c r="D242" s="2"/>
      <c r="E242" s="2"/>
      <c r="F242" s="1"/>
      <c r="G242" s="3"/>
      <c r="H242" s="3"/>
      <c r="I242" s="3"/>
      <c r="J242" s="3"/>
      <c r="K242" s="3"/>
      <c r="L242" s="3"/>
      <c r="M242" s="3"/>
      <c r="N242" s="4"/>
      <c r="O242" s="4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2"/>
      <c r="D243" s="2"/>
      <c r="E243" s="2"/>
      <c r="F243" s="1"/>
      <c r="G243" s="3"/>
      <c r="H243" s="3"/>
      <c r="I243" s="3"/>
      <c r="J243" s="3"/>
      <c r="K243" s="3"/>
      <c r="L243" s="3"/>
      <c r="M243" s="3"/>
      <c r="N243" s="4"/>
      <c r="O243" s="4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2"/>
      <c r="D244" s="2"/>
      <c r="E244" s="2"/>
      <c r="F244" s="1"/>
      <c r="G244" s="3"/>
      <c r="H244" s="3"/>
      <c r="I244" s="3"/>
      <c r="J244" s="3"/>
      <c r="K244" s="3"/>
      <c r="L244" s="3"/>
      <c r="M244" s="3"/>
      <c r="N244" s="4"/>
      <c r="O244" s="4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2"/>
      <c r="D245" s="2"/>
      <c r="E245" s="2"/>
      <c r="F245" s="1"/>
      <c r="G245" s="3"/>
      <c r="H245" s="3"/>
      <c r="I245" s="3"/>
      <c r="J245" s="3"/>
      <c r="K245" s="3"/>
      <c r="L245" s="3"/>
      <c r="M245" s="3"/>
      <c r="N245" s="4"/>
      <c r="O245" s="4"/>
      <c r="P245" s="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2"/>
      <c r="D246" s="2"/>
      <c r="E246" s="2"/>
      <c r="F246" s="1"/>
      <c r="G246" s="3"/>
      <c r="H246" s="3"/>
      <c r="I246" s="3"/>
      <c r="J246" s="3"/>
      <c r="K246" s="3"/>
      <c r="L246" s="3"/>
      <c r="M246" s="3"/>
      <c r="N246" s="4"/>
      <c r="O246" s="4"/>
      <c r="P246" s="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2"/>
      <c r="D247" s="2"/>
      <c r="E247" s="2"/>
      <c r="F247" s="1"/>
      <c r="G247" s="3"/>
      <c r="H247" s="3"/>
      <c r="I247" s="3"/>
      <c r="J247" s="3"/>
      <c r="K247" s="3"/>
      <c r="L247" s="3"/>
      <c r="M247" s="3"/>
      <c r="N247" s="4"/>
      <c r="O247" s="4"/>
      <c r="P247" s="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2"/>
      <c r="D248" s="2"/>
      <c r="E248" s="2"/>
      <c r="F248" s="1"/>
      <c r="G248" s="3"/>
      <c r="H248" s="3"/>
      <c r="I248" s="3"/>
      <c r="J248" s="3"/>
      <c r="K248" s="3"/>
      <c r="L248" s="3"/>
      <c r="M248" s="3"/>
      <c r="N248" s="4"/>
      <c r="O248" s="4"/>
      <c r="P248" s="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2"/>
      <c r="D249" s="2"/>
      <c r="E249" s="2"/>
      <c r="F249" s="1"/>
      <c r="G249" s="3"/>
      <c r="H249" s="3"/>
      <c r="I249" s="3"/>
      <c r="J249" s="3"/>
      <c r="K249" s="3"/>
      <c r="L249" s="3"/>
      <c r="M249" s="3"/>
      <c r="N249" s="4"/>
      <c r="O249" s="4"/>
      <c r="P249" s="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2"/>
      <c r="D250" s="2"/>
      <c r="E250" s="2"/>
      <c r="F250" s="1"/>
      <c r="G250" s="3"/>
      <c r="H250" s="3"/>
      <c r="I250" s="3"/>
      <c r="J250" s="3"/>
      <c r="K250" s="3"/>
      <c r="L250" s="3"/>
      <c r="M250" s="3"/>
      <c r="N250" s="4"/>
      <c r="O250" s="4"/>
      <c r="P250" s="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2"/>
      <c r="D251" s="2"/>
      <c r="E251" s="2"/>
      <c r="F251" s="1"/>
      <c r="G251" s="3"/>
      <c r="H251" s="3"/>
      <c r="I251" s="3"/>
      <c r="J251" s="3"/>
      <c r="K251" s="3"/>
      <c r="L251" s="3"/>
      <c r="M251" s="3"/>
      <c r="N251" s="4"/>
      <c r="O251" s="4"/>
      <c r="P251" s="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">
      <c r="A252" s="1"/>
      <c r="B252" s="1"/>
      <c r="C252" s="2"/>
      <c r="D252" s="2"/>
      <c r="E252" s="2"/>
      <c r="F252" s="1"/>
      <c r="G252" s="3"/>
      <c r="H252" s="3"/>
      <c r="I252" s="3"/>
      <c r="J252" s="3"/>
      <c r="K252" s="3"/>
      <c r="L252" s="3"/>
      <c r="M252" s="3"/>
      <c r="N252" s="4"/>
      <c r="O252" s="4"/>
      <c r="P252" s="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">
      <c r="A253" s="1"/>
      <c r="B253" s="1"/>
      <c r="C253" s="2"/>
      <c r="D253" s="2"/>
      <c r="E253" s="2"/>
      <c r="F253" s="1"/>
      <c r="G253" s="3"/>
      <c r="H253" s="3"/>
      <c r="I253" s="3"/>
      <c r="J253" s="3"/>
      <c r="K253" s="3"/>
      <c r="L253" s="3"/>
      <c r="M253" s="3"/>
      <c r="N253" s="4"/>
      <c r="O253" s="4"/>
      <c r="P253" s="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">
      <c r="A254" s="1"/>
      <c r="B254" s="1"/>
      <c r="C254" s="2"/>
      <c r="D254" s="2"/>
      <c r="E254" s="2"/>
      <c r="F254" s="1"/>
      <c r="G254" s="3"/>
      <c r="H254" s="3"/>
      <c r="I254" s="3"/>
      <c r="J254" s="3"/>
      <c r="K254" s="3"/>
      <c r="L254" s="3"/>
      <c r="M254" s="3"/>
      <c r="N254" s="4"/>
      <c r="O254" s="4"/>
      <c r="P254" s="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">
      <c r="A255" s="1"/>
      <c r="B255" s="1"/>
      <c r="C255" s="2"/>
      <c r="D255" s="2"/>
      <c r="E255" s="2"/>
      <c r="F255" s="1"/>
      <c r="G255" s="3"/>
      <c r="H255" s="3"/>
      <c r="I255" s="3"/>
      <c r="J255" s="3"/>
      <c r="K255" s="3"/>
      <c r="L255" s="3"/>
      <c r="M255" s="3"/>
      <c r="N255" s="4"/>
      <c r="O255" s="4"/>
      <c r="P255" s="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">
      <c r="A256" s="1"/>
      <c r="B256" s="1"/>
      <c r="C256" s="2"/>
      <c r="D256" s="2"/>
      <c r="E256" s="2"/>
      <c r="F256" s="1"/>
      <c r="G256" s="3"/>
      <c r="H256" s="3"/>
      <c r="I256" s="3"/>
      <c r="J256" s="3"/>
      <c r="K256" s="3"/>
      <c r="L256" s="3"/>
      <c r="M256" s="3"/>
      <c r="N256" s="4"/>
      <c r="O256" s="4"/>
      <c r="P256" s="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">
      <c r="A257" s="1"/>
      <c r="B257" s="1"/>
      <c r="C257" s="2"/>
      <c r="D257" s="2"/>
      <c r="E257" s="2"/>
      <c r="F257" s="1"/>
      <c r="G257" s="3"/>
      <c r="H257" s="3"/>
      <c r="I257" s="3"/>
      <c r="J257" s="3"/>
      <c r="K257" s="3"/>
      <c r="L257" s="3"/>
      <c r="M257" s="3"/>
      <c r="N257" s="4"/>
      <c r="O257" s="4"/>
      <c r="P257" s="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">
      <c r="A258" s="1"/>
      <c r="B258" s="1"/>
      <c r="C258" s="2"/>
      <c r="D258" s="2"/>
      <c r="E258" s="2"/>
      <c r="F258" s="1"/>
      <c r="G258" s="3"/>
      <c r="H258" s="3"/>
      <c r="I258" s="3"/>
      <c r="J258" s="3"/>
      <c r="K258" s="3"/>
      <c r="L258" s="3"/>
      <c r="M258" s="3"/>
      <c r="N258" s="4"/>
      <c r="O258" s="4"/>
      <c r="P258" s="4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 x14ac:dyDescent="0.2">
      <c r="A259" s="1"/>
      <c r="B259" s="1"/>
      <c r="C259" s="2"/>
      <c r="D259" s="2"/>
      <c r="E259" s="2"/>
      <c r="F259" s="1"/>
      <c r="G259" s="3"/>
      <c r="H259" s="3"/>
      <c r="I259" s="3"/>
      <c r="J259" s="3"/>
      <c r="K259" s="3"/>
      <c r="L259" s="3"/>
      <c r="M259" s="3"/>
      <c r="N259" s="4"/>
      <c r="O259" s="4"/>
      <c r="P259" s="4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 x14ac:dyDescent="0.2">
      <c r="A260" s="1"/>
      <c r="B260" s="1"/>
      <c r="C260" s="2"/>
      <c r="D260" s="2"/>
      <c r="E260" s="2"/>
      <c r="F260" s="1"/>
      <c r="G260" s="3"/>
      <c r="H260" s="3"/>
      <c r="I260" s="3"/>
      <c r="J260" s="3"/>
      <c r="K260" s="3"/>
      <c r="L260" s="3"/>
      <c r="M260" s="3"/>
      <c r="N260" s="4"/>
      <c r="O260" s="4"/>
      <c r="P260" s="4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 x14ac:dyDescent="0.2">
      <c r="A261" s="1"/>
      <c r="B261" s="1"/>
      <c r="C261" s="2"/>
      <c r="D261" s="2"/>
      <c r="E261" s="2"/>
      <c r="F261" s="1"/>
      <c r="G261" s="3"/>
      <c r="H261" s="3"/>
      <c r="I261" s="3"/>
      <c r="J261" s="3"/>
      <c r="K261" s="3"/>
      <c r="L261" s="3"/>
      <c r="M261" s="3"/>
      <c r="N261" s="4"/>
      <c r="O261" s="4"/>
      <c r="P261" s="4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 x14ac:dyDescent="0.2">
      <c r="A262" s="1"/>
      <c r="B262" s="1"/>
      <c r="C262" s="2"/>
      <c r="D262" s="2"/>
      <c r="E262" s="2"/>
      <c r="F262" s="1"/>
      <c r="G262" s="3"/>
      <c r="H262" s="3"/>
      <c r="I262" s="3"/>
      <c r="J262" s="3"/>
      <c r="K262" s="3"/>
      <c r="L262" s="3"/>
      <c r="M262" s="3"/>
      <c r="N262" s="4"/>
      <c r="O262" s="4"/>
      <c r="P262" s="4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 x14ac:dyDescent="0.2">
      <c r="A263" s="1"/>
      <c r="B263" s="1"/>
      <c r="C263" s="2"/>
      <c r="D263" s="2"/>
      <c r="E263" s="2"/>
      <c r="F263" s="1"/>
      <c r="G263" s="3"/>
      <c r="H263" s="3"/>
      <c r="I263" s="3"/>
      <c r="J263" s="3"/>
      <c r="K263" s="3"/>
      <c r="L263" s="3"/>
      <c r="M263" s="3"/>
      <c r="N263" s="4"/>
      <c r="O263" s="4"/>
      <c r="P263" s="4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 x14ac:dyDescent="0.2">
      <c r="A264" s="1"/>
      <c r="B264" s="1"/>
      <c r="C264" s="2"/>
      <c r="D264" s="2"/>
      <c r="E264" s="2"/>
      <c r="F264" s="1"/>
      <c r="G264" s="3"/>
      <c r="H264" s="3"/>
      <c r="I264" s="3"/>
      <c r="J264" s="3"/>
      <c r="K264" s="3"/>
      <c r="L264" s="3"/>
      <c r="M264" s="3"/>
      <c r="N264" s="4"/>
      <c r="O264" s="4"/>
      <c r="P264" s="4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 x14ac:dyDescent="0.2">
      <c r="A265" s="1"/>
      <c r="B265" s="1"/>
      <c r="C265" s="2"/>
      <c r="D265" s="2"/>
      <c r="E265" s="2"/>
      <c r="F265" s="1"/>
      <c r="G265" s="3"/>
      <c r="H265" s="3"/>
      <c r="I265" s="3"/>
      <c r="J265" s="3"/>
      <c r="K265" s="3"/>
      <c r="L265" s="3"/>
      <c r="M265" s="3"/>
      <c r="N265" s="4"/>
      <c r="O265" s="4"/>
      <c r="P265" s="4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 x14ac:dyDescent="0.2">
      <c r="A266" s="1"/>
      <c r="B266" s="1"/>
      <c r="C266" s="2"/>
      <c r="D266" s="2"/>
      <c r="E266" s="2"/>
      <c r="F266" s="1"/>
      <c r="G266" s="3"/>
      <c r="H266" s="3"/>
      <c r="I266" s="3"/>
      <c r="J266" s="3"/>
      <c r="K266" s="3"/>
      <c r="L266" s="3"/>
      <c r="M266" s="3"/>
      <c r="N266" s="4"/>
      <c r="O266" s="4"/>
      <c r="P266" s="4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 x14ac:dyDescent="0.2">
      <c r="A267" s="1"/>
      <c r="B267" s="1"/>
      <c r="C267" s="2"/>
      <c r="D267" s="2"/>
      <c r="E267" s="2"/>
      <c r="F267" s="1"/>
      <c r="G267" s="3"/>
      <c r="H267" s="3"/>
      <c r="I267" s="3"/>
      <c r="J267" s="3"/>
      <c r="K267" s="3"/>
      <c r="L267" s="3"/>
      <c r="M267" s="3"/>
      <c r="N267" s="4"/>
      <c r="O267" s="4"/>
      <c r="P267" s="4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 x14ac:dyDescent="0.2">
      <c r="A268" s="1"/>
      <c r="B268" s="1"/>
      <c r="C268" s="2"/>
      <c r="D268" s="2"/>
      <c r="E268" s="2"/>
      <c r="F268" s="1"/>
      <c r="G268" s="3"/>
      <c r="H268" s="3"/>
      <c r="I268" s="3"/>
      <c r="J268" s="3"/>
      <c r="K268" s="3"/>
      <c r="L268" s="3"/>
      <c r="M268" s="3"/>
      <c r="N268" s="4"/>
      <c r="O268" s="4"/>
      <c r="P268" s="4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 x14ac:dyDescent="0.2">
      <c r="A269" s="1"/>
      <c r="B269" s="1"/>
      <c r="C269" s="2"/>
      <c r="D269" s="2"/>
      <c r="E269" s="2"/>
      <c r="F269" s="1"/>
      <c r="G269" s="3"/>
      <c r="H269" s="3"/>
      <c r="I269" s="3"/>
      <c r="J269" s="3"/>
      <c r="K269" s="3"/>
      <c r="L269" s="3"/>
      <c r="M269" s="3"/>
      <c r="N269" s="4"/>
      <c r="O269" s="4"/>
      <c r="P269" s="4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 x14ac:dyDescent="0.2">
      <c r="A270" s="1"/>
      <c r="B270" s="1"/>
      <c r="C270" s="2"/>
      <c r="D270" s="2"/>
      <c r="E270" s="2"/>
      <c r="F270" s="1"/>
      <c r="G270" s="3"/>
      <c r="H270" s="3"/>
      <c r="I270" s="3"/>
      <c r="J270" s="3"/>
      <c r="K270" s="3"/>
      <c r="L270" s="3"/>
      <c r="M270" s="3"/>
      <c r="N270" s="4"/>
      <c r="O270" s="4"/>
      <c r="P270" s="4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 x14ac:dyDescent="0.2">
      <c r="A271" s="1"/>
      <c r="B271" s="1"/>
      <c r="C271" s="2"/>
      <c r="D271" s="2"/>
      <c r="E271" s="2"/>
      <c r="F271" s="1"/>
      <c r="G271" s="3"/>
      <c r="H271" s="3"/>
      <c r="I271" s="3"/>
      <c r="J271" s="3"/>
      <c r="K271" s="3"/>
      <c r="L271" s="3"/>
      <c r="M271" s="3"/>
      <c r="N271" s="4"/>
      <c r="O271" s="4"/>
      <c r="P271" s="4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 x14ac:dyDescent="0.2">
      <c r="A272" s="1"/>
      <c r="B272" s="1"/>
      <c r="C272" s="2"/>
      <c r="D272" s="2"/>
      <c r="E272" s="2"/>
      <c r="F272" s="1"/>
      <c r="G272" s="3"/>
      <c r="H272" s="3"/>
      <c r="I272" s="3"/>
      <c r="J272" s="3"/>
      <c r="K272" s="3"/>
      <c r="L272" s="3"/>
      <c r="M272" s="3"/>
      <c r="N272" s="4"/>
      <c r="O272" s="4"/>
      <c r="P272" s="4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 x14ac:dyDescent="0.2">
      <c r="A273" s="1"/>
      <c r="B273" s="1"/>
      <c r="C273" s="2"/>
      <c r="D273" s="2"/>
      <c r="E273" s="2"/>
      <c r="F273" s="1"/>
      <c r="G273" s="3"/>
      <c r="H273" s="3"/>
      <c r="I273" s="3"/>
      <c r="J273" s="3"/>
      <c r="K273" s="3"/>
      <c r="L273" s="3"/>
      <c r="M273" s="3"/>
      <c r="N273" s="4"/>
      <c r="O273" s="4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 x14ac:dyDescent="0.2">
      <c r="A274" s="1"/>
      <c r="B274" s="1"/>
      <c r="C274" s="2"/>
      <c r="D274" s="2"/>
      <c r="E274" s="2"/>
      <c r="F274" s="1"/>
      <c r="G274" s="3"/>
      <c r="H274" s="3"/>
      <c r="I274" s="3"/>
      <c r="J274" s="3"/>
      <c r="K274" s="3"/>
      <c r="L274" s="3"/>
      <c r="M274" s="3"/>
      <c r="N274" s="4"/>
      <c r="O274" s="4"/>
      <c r="P274" s="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 x14ac:dyDescent="0.2">
      <c r="A275" s="1"/>
      <c r="B275" s="1"/>
      <c r="C275" s="2"/>
      <c r="D275" s="2"/>
      <c r="E275" s="2"/>
      <c r="F275" s="1"/>
      <c r="G275" s="3"/>
      <c r="H275" s="3"/>
      <c r="I275" s="3"/>
      <c r="J275" s="3"/>
      <c r="K275" s="3"/>
      <c r="L275" s="3"/>
      <c r="M275" s="3"/>
      <c r="N275" s="4"/>
      <c r="O275" s="4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 x14ac:dyDescent="0.2">
      <c r="A276" s="1"/>
      <c r="B276" s="1"/>
      <c r="C276" s="2"/>
      <c r="D276" s="2"/>
      <c r="E276" s="2"/>
      <c r="F276" s="1"/>
      <c r="G276" s="3"/>
      <c r="H276" s="3"/>
      <c r="I276" s="3"/>
      <c r="J276" s="3"/>
      <c r="K276" s="3"/>
      <c r="L276" s="3"/>
      <c r="M276" s="3"/>
      <c r="N276" s="4"/>
      <c r="O276" s="4"/>
      <c r="P276" s="4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 x14ac:dyDescent="0.2">
      <c r="A277" s="1"/>
      <c r="B277" s="1"/>
      <c r="C277" s="2"/>
      <c r="D277" s="2"/>
      <c r="E277" s="2"/>
      <c r="F277" s="1"/>
      <c r="G277" s="3"/>
      <c r="H277" s="3"/>
      <c r="I277" s="3"/>
      <c r="J277" s="3"/>
      <c r="K277" s="3"/>
      <c r="L277" s="3"/>
      <c r="M277" s="3"/>
      <c r="N277" s="4"/>
      <c r="O277" s="4"/>
      <c r="P277" s="4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 x14ac:dyDescent="0.2">
      <c r="A278" s="1"/>
      <c r="B278" s="1"/>
      <c r="C278" s="2"/>
      <c r="D278" s="2"/>
      <c r="E278" s="2"/>
      <c r="F278" s="1"/>
      <c r="G278" s="3"/>
      <c r="H278" s="3"/>
      <c r="I278" s="3"/>
      <c r="J278" s="3"/>
      <c r="K278" s="3"/>
      <c r="L278" s="3"/>
      <c r="M278" s="3"/>
      <c r="N278" s="4"/>
      <c r="O278" s="4"/>
      <c r="P278" s="4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 x14ac:dyDescent="0.2">
      <c r="A279" s="1"/>
      <c r="B279" s="1"/>
      <c r="C279" s="2"/>
      <c r="D279" s="2"/>
      <c r="E279" s="2"/>
      <c r="F279" s="1"/>
      <c r="G279" s="3"/>
      <c r="H279" s="3"/>
      <c r="I279" s="3"/>
      <c r="J279" s="3"/>
      <c r="K279" s="3"/>
      <c r="L279" s="3"/>
      <c r="M279" s="3"/>
      <c r="N279" s="4"/>
      <c r="O279" s="4"/>
      <c r="P279" s="4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 x14ac:dyDescent="0.2">
      <c r="A280" s="1"/>
      <c r="B280" s="1"/>
      <c r="C280" s="2"/>
      <c r="D280" s="2"/>
      <c r="E280" s="2"/>
      <c r="F280" s="1"/>
      <c r="G280" s="3"/>
      <c r="H280" s="3"/>
      <c r="I280" s="3"/>
      <c r="J280" s="3"/>
      <c r="K280" s="3"/>
      <c r="L280" s="3"/>
      <c r="M280" s="3"/>
      <c r="N280" s="4"/>
      <c r="O280" s="4"/>
      <c r="P280" s="4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 x14ac:dyDescent="0.2">
      <c r="A281" s="1"/>
      <c r="B281" s="1"/>
      <c r="C281" s="2"/>
      <c r="D281" s="2"/>
      <c r="E281" s="2"/>
      <c r="F281" s="1"/>
      <c r="G281" s="3"/>
      <c r="H281" s="3"/>
      <c r="I281" s="3"/>
      <c r="J281" s="3"/>
      <c r="K281" s="3"/>
      <c r="L281" s="3"/>
      <c r="M281" s="3"/>
      <c r="N281" s="4"/>
      <c r="O281" s="4"/>
      <c r="P281" s="4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 x14ac:dyDescent="0.2">
      <c r="A282" s="1"/>
      <c r="B282" s="1"/>
      <c r="C282" s="2"/>
      <c r="D282" s="2"/>
      <c r="E282" s="2"/>
      <c r="F282" s="1"/>
      <c r="G282" s="3"/>
      <c r="H282" s="3"/>
      <c r="I282" s="3"/>
      <c r="J282" s="3"/>
      <c r="K282" s="3"/>
      <c r="L282" s="3"/>
      <c r="M282" s="3"/>
      <c r="N282" s="4"/>
      <c r="O282" s="4"/>
      <c r="P282" s="4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 x14ac:dyDescent="0.2">
      <c r="A283" s="1"/>
      <c r="B283" s="1"/>
      <c r="C283" s="2"/>
      <c r="D283" s="2"/>
      <c r="E283" s="2"/>
      <c r="F283" s="1"/>
      <c r="G283" s="3"/>
      <c r="H283" s="3"/>
      <c r="I283" s="3"/>
      <c r="J283" s="3"/>
      <c r="K283" s="3"/>
      <c r="L283" s="3"/>
      <c r="M283" s="3"/>
      <c r="N283" s="4"/>
      <c r="O283" s="4"/>
      <c r="P283" s="4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2">
      <c r="A284" s="1"/>
      <c r="B284" s="1"/>
      <c r="C284" s="2"/>
      <c r="D284" s="2"/>
      <c r="E284" s="2"/>
      <c r="F284" s="1"/>
      <c r="G284" s="3"/>
      <c r="H284" s="3"/>
      <c r="I284" s="3"/>
      <c r="J284" s="3"/>
      <c r="K284" s="3"/>
      <c r="L284" s="3"/>
      <c r="M284" s="3"/>
      <c r="N284" s="4"/>
      <c r="O284" s="4"/>
      <c r="P284" s="4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 x14ac:dyDescent="0.2">
      <c r="A285" s="1"/>
      <c r="B285" s="1"/>
      <c r="C285" s="2"/>
      <c r="D285" s="2"/>
      <c r="E285" s="2"/>
      <c r="F285" s="1"/>
      <c r="G285" s="3"/>
      <c r="H285" s="3"/>
      <c r="I285" s="3"/>
      <c r="J285" s="3"/>
      <c r="K285" s="3"/>
      <c r="L285" s="3"/>
      <c r="M285" s="3"/>
      <c r="N285" s="4"/>
      <c r="O285" s="4"/>
      <c r="P285" s="4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 x14ac:dyDescent="0.2">
      <c r="A286" s="1"/>
      <c r="B286" s="1"/>
      <c r="C286" s="2"/>
      <c r="D286" s="2"/>
      <c r="E286" s="2"/>
      <c r="F286" s="1"/>
      <c r="G286" s="3"/>
      <c r="H286" s="3"/>
      <c r="I286" s="3"/>
      <c r="J286" s="3"/>
      <c r="K286" s="3"/>
      <c r="L286" s="3"/>
      <c r="M286" s="3"/>
      <c r="N286" s="4"/>
      <c r="O286" s="4"/>
      <c r="P286" s="4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 x14ac:dyDescent="0.2">
      <c r="A287" s="1"/>
      <c r="B287" s="1"/>
      <c r="C287" s="2"/>
      <c r="D287" s="2"/>
      <c r="E287" s="2"/>
      <c r="F287" s="1"/>
      <c r="G287" s="3"/>
      <c r="H287" s="3"/>
      <c r="I287" s="3"/>
      <c r="J287" s="3"/>
      <c r="K287" s="3"/>
      <c r="L287" s="3"/>
      <c r="M287" s="3"/>
      <c r="N287" s="4"/>
      <c r="O287" s="4"/>
      <c r="P287" s="4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 x14ac:dyDescent="0.2">
      <c r="A288" s="1"/>
      <c r="B288" s="1"/>
      <c r="C288" s="2"/>
      <c r="D288" s="2"/>
      <c r="E288" s="2"/>
      <c r="F288" s="1"/>
      <c r="G288" s="3"/>
      <c r="H288" s="3"/>
      <c r="I288" s="3"/>
      <c r="J288" s="3"/>
      <c r="K288" s="3"/>
      <c r="L288" s="3"/>
      <c r="M288" s="3"/>
      <c r="N288" s="4"/>
      <c r="O288" s="4"/>
      <c r="P288" s="4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 x14ac:dyDescent="0.2">
      <c r="A289" s="1"/>
      <c r="B289" s="1"/>
      <c r="C289" s="2"/>
      <c r="D289" s="2"/>
      <c r="E289" s="2"/>
      <c r="F289" s="1"/>
      <c r="G289" s="3"/>
      <c r="H289" s="3"/>
      <c r="I289" s="3"/>
      <c r="J289" s="3"/>
      <c r="K289" s="3"/>
      <c r="L289" s="3"/>
      <c r="M289" s="3"/>
      <c r="N289" s="4"/>
      <c r="O289" s="4"/>
      <c r="P289" s="4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 x14ac:dyDescent="0.2">
      <c r="A290" s="1"/>
      <c r="B290" s="1"/>
      <c r="C290" s="2"/>
      <c r="D290" s="2"/>
      <c r="E290" s="2"/>
      <c r="F290" s="1"/>
      <c r="G290" s="3"/>
      <c r="H290" s="3"/>
      <c r="I290" s="3"/>
      <c r="J290" s="3"/>
      <c r="K290" s="3"/>
      <c r="L290" s="3"/>
      <c r="M290" s="3"/>
      <c r="N290" s="4"/>
      <c r="O290" s="4"/>
      <c r="P290" s="4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 x14ac:dyDescent="0.2">
      <c r="A291" s="1"/>
      <c r="B291" s="1"/>
      <c r="C291" s="2"/>
      <c r="D291" s="2"/>
      <c r="E291" s="2"/>
      <c r="F291" s="1"/>
      <c r="G291" s="3"/>
      <c r="H291" s="3"/>
      <c r="I291" s="3"/>
      <c r="J291" s="3"/>
      <c r="K291" s="3"/>
      <c r="L291" s="3"/>
      <c r="M291" s="3"/>
      <c r="N291" s="4"/>
      <c r="O291" s="4"/>
      <c r="P291" s="4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 x14ac:dyDescent="0.2">
      <c r="A292" s="1"/>
      <c r="B292" s="1"/>
      <c r="C292" s="2"/>
      <c r="D292" s="2"/>
      <c r="E292" s="2"/>
      <c r="F292" s="1"/>
      <c r="G292" s="3"/>
      <c r="H292" s="3"/>
      <c r="I292" s="3"/>
      <c r="J292" s="3"/>
      <c r="K292" s="3"/>
      <c r="L292" s="3"/>
      <c r="M292" s="3"/>
      <c r="N292" s="4"/>
      <c r="O292" s="4"/>
      <c r="P292" s="4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 x14ac:dyDescent="0.2">
      <c r="A293" s="1"/>
      <c r="B293" s="1"/>
      <c r="C293" s="2"/>
      <c r="D293" s="2"/>
      <c r="E293" s="2"/>
      <c r="F293" s="1"/>
      <c r="G293" s="3"/>
      <c r="H293" s="3"/>
      <c r="I293" s="3"/>
      <c r="J293" s="3"/>
      <c r="K293" s="3"/>
      <c r="L293" s="3"/>
      <c r="M293" s="3"/>
      <c r="N293" s="4"/>
      <c r="O293" s="4"/>
      <c r="P293" s="4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 x14ac:dyDescent="0.2">
      <c r="A294" s="1"/>
      <c r="B294" s="1"/>
      <c r="C294" s="2"/>
      <c r="D294" s="2"/>
      <c r="E294" s="2"/>
      <c r="F294" s="1"/>
      <c r="G294" s="3"/>
      <c r="H294" s="3"/>
      <c r="I294" s="3"/>
      <c r="J294" s="3"/>
      <c r="K294" s="3"/>
      <c r="L294" s="3"/>
      <c r="M294" s="3"/>
      <c r="N294" s="4"/>
      <c r="O294" s="4"/>
      <c r="P294" s="4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 x14ac:dyDescent="0.2">
      <c r="A295" s="1"/>
      <c r="B295" s="1"/>
      <c r="C295" s="2"/>
      <c r="D295" s="2"/>
      <c r="E295" s="2"/>
      <c r="F295" s="1"/>
      <c r="G295" s="3"/>
      <c r="H295" s="3"/>
      <c r="I295" s="3"/>
      <c r="J295" s="3"/>
      <c r="K295" s="3"/>
      <c r="L295" s="3"/>
      <c r="M295" s="3"/>
      <c r="N295" s="4"/>
      <c r="O295" s="4"/>
      <c r="P295" s="4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 x14ac:dyDescent="0.2">
      <c r="A296" s="1"/>
      <c r="B296" s="1"/>
      <c r="C296" s="2"/>
      <c r="D296" s="2"/>
      <c r="E296" s="2"/>
      <c r="F296" s="1"/>
      <c r="G296" s="3"/>
      <c r="H296" s="3"/>
      <c r="I296" s="3"/>
      <c r="J296" s="3"/>
      <c r="K296" s="3"/>
      <c r="L296" s="3"/>
      <c r="M296" s="3"/>
      <c r="N296" s="4"/>
      <c r="O296" s="4"/>
      <c r="P296" s="4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 x14ac:dyDescent="0.2">
      <c r="A297" s="1"/>
      <c r="B297" s="1"/>
      <c r="C297" s="2"/>
      <c r="D297" s="2"/>
      <c r="E297" s="2"/>
      <c r="F297" s="1"/>
      <c r="G297" s="3"/>
      <c r="H297" s="3"/>
      <c r="I297" s="3"/>
      <c r="J297" s="3"/>
      <c r="K297" s="3"/>
      <c r="L297" s="3"/>
      <c r="M297" s="3"/>
      <c r="N297" s="4"/>
      <c r="O297" s="4"/>
      <c r="P297" s="4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 x14ac:dyDescent="0.2">
      <c r="A298" s="1"/>
      <c r="B298" s="1"/>
      <c r="C298" s="2"/>
      <c r="D298" s="2"/>
      <c r="E298" s="2"/>
      <c r="F298" s="1"/>
      <c r="G298" s="3"/>
      <c r="H298" s="3"/>
      <c r="I298" s="3"/>
      <c r="J298" s="3"/>
      <c r="K298" s="3"/>
      <c r="L298" s="3"/>
      <c r="M298" s="3"/>
      <c r="N298" s="4"/>
      <c r="O298" s="4"/>
      <c r="P298" s="4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 x14ac:dyDescent="0.2">
      <c r="A299" s="1"/>
      <c r="B299" s="1"/>
      <c r="C299" s="2"/>
      <c r="D299" s="2"/>
      <c r="E299" s="2"/>
      <c r="F299" s="1"/>
      <c r="G299" s="3"/>
      <c r="H299" s="3"/>
      <c r="I299" s="3"/>
      <c r="J299" s="3"/>
      <c r="K299" s="3"/>
      <c r="L299" s="3"/>
      <c r="M299" s="3"/>
      <c r="N299" s="4"/>
      <c r="O299" s="4"/>
      <c r="P299" s="4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 x14ac:dyDescent="0.2">
      <c r="A300" s="1"/>
      <c r="B300" s="1"/>
      <c r="C300" s="2"/>
      <c r="D300" s="2"/>
      <c r="E300" s="2"/>
      <c r="F300" s="1"/>
      <c r="G300" s="3"/>
      <c r="H300" s="3"/>
      <c r="I300" s="3"/>
      <c r="J300" s="3"/>
      <c r="K300" s="3"/>
      <c r="L300" s="3"/>
      <c r="M300" s="3"/>
      <c r="N300" s="4"/>
      <c r="O300" s="4"/>
      <c r="P300" s="4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 x14ac:dyDescent="0.2">
      <c r="A301" s="1"/>
      <c r="B301" s="1"/>
      <c r="C301" s="2"/>
      <c r="D301" s="2"/>
      <c r="E301" s="2"/>
      <c r="F301" s="1"/>
      <c r="G301" s="3"/>
      <c r="H301" s="3"/>
      <c r="I301" s="3"/>
      <c r="J301" s="3"/>
      <c r="K301" s="3"/>
      <c r="L301" s="3"/>
      <c r="M301" s="3"/>
      <c r="N301" s="4"/>
      <c r="O301" s="4"/>
      <c r="P301" s="4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 x14ac:dyDescent="0.2">
      <c r="A302" s="1"/>
      <c r="B302" s="1"/>
      <c r="C302" s="2"/>
      <c r="D302" s="2"/>
      <c r="E302" s="2"/>
      <c r="F302" s="1"/>
      <c r="G302" s="3"/>
      <c r="H302" s="3"/>
      <c r="I302" s="3"/>
      <c r="J302" s="3"/>
      <c r="K302" s="3"/>
      <c r="L302" s="3"/>
      <c r="M302" s="3"/>
      <c r="N302" s="4"/>
      <c r="O302" s="4"/>
      <c r="P302" s="4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 x14ac:dyDescent="0.2">
      <c r="A303" s="1"/>
      <c r="B303" s="1"/>
      <c r="C303" s="2"/>
      <c r="D303" s="2"/>
      <c r="E303" s="2"/>
      <c r="F303" s="1"/>
      <c r="G303" s="3"/>
      <c r="H303" s="3"/>
      <c r="I303" s="3"/>
      <c r="J303" s="3"/>
      <c r="K303" s="3"/>
      <c r="L303" s="3"/>
      <c r="M303" s="3"/>
      <c r="N303" s="4"/>
      <c r="O303" s="4"/>
      <c r="P303" s="4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 x14ac:dyDescent="0.2">
      <c r="A304" s="1"/>
      <c r="B304" s="1"/>
      <c r="C304" s="2"/>
      <c r="D304" s="2"/>
      <c r="E304" s="2"/>
      <c r="F304" s="1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 x14ac:dyDescent="0.2">
      <c r="A305" s="1"/>
      <c r="B305" s="1"/>
      <c r="C305" s="2"/>
      <c r="D305" s="2"/>
      <c r="E305" s="2"/>
      <c r="F305" s="1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 x14ac:dyDescent="0.2">
      <c r="A306" s="1"/>
      <c r="B306" s="1"/>
      <c r="C306" s="2"/>
      <c r="D306" s="2"/>
      <c r="E306" s="2"/>
      <c r="F306" s="1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 x14ac:dyDescent="0.2">
      <c r="A307" s="1"/>
      <c r="B307" s="1"/>
      <c r="C307" s="2"/>
      <c r="D307" s="2"/>
      <c r="E307" s="2"/>
      <c r="F307" s="1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 x14ac:dyDescent="0.2">
      <c r="A308" s="1"/>
      <c r="B308" s="1"/>
      <c r="C308" s="2"/>
      <c r="D308" s="2"/>
      <c r="E308" s="2"/>
      <c r="F308" s="1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 x14ac:dyDescent="0.2">
      <c r="A309" s="1"/>
      <c r="B309" s="1"/>
      <c r="C309" s="2"/>
      <c r="D309" s="2"/>
      <c r="E309" s="2"/>
      <c r="F309" s="1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 x14ac:dyDescent="0.2">
      <c r="A310" s="1"/>
      <c r="B310" s="1"/>
      <c r="C310" s="2"/>
      <c r="D310" s="2"/>
      <c r="E310" s="2"/>
      <c r="F310" s="1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 x14ac:dyDescent="0.2">
      <c r="A311" s="1"/>
      <c r="B311" s="1"/>
      <c r="C311" s="2"/>
      <c r="D311" s="2"/>
      <c r="E311" s="2"/>
      <c r="F311" s="1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 x14ac:dyDescent="0.2">
      <c r="A312" s="1"/>
      <c r="B312" s="1"/>
      <c r="C312" s="2"/>
      <c r="D312" s="2"/>
      <c r="E312" s="2"/>
      <c r="F312" s="1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 x14ac:dyDescent="0.2">
      <c r="A313" s="1"/>
      <c r="B313" s="1"/>
      <c r="C313" s="2"/>
      <c r="D313" s="2"/>
      <c r="E313" s="2"/>
      <c r="F313" s="1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 x14ac:dyDescent="0.2">
      <c r="A314" s="1"/>
      <c r="B314" s="1"/>
      <c r="C314" s="2"/>
      <c r="D314" s="2"/>
      <c r="E314" s="2"/>
      <c r="F314" s="1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 x14ac:dyDescent="0.2">
      <c r="A315" s="1"/>
      <c r="B315" s="1"/>
      <c r="C315" s="2"/>
      <c r="D315" s="2"/>
      <c r="E315" s="2"/>
      <c r="F315" s="1"/>
      <c r="G315" s="3"/>
      <c r="H315" s="3"/>
      <c r="I315" s="3"/>
      <c r="J315" s="3"/>
      <c r="K315" s="3"/>
      <c r="L315" s="3"/>
      <c r="M315" s="3"/>
      <c r="N315" s="4"/>
      <c r="O315" s="4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 x14ac:dyDescent="0.2">
      <c r="A316" s="1"/>
      <c r="B316" s="1"/>
      <c r="C316" s="2"/>
      <c r="D316" s="2"/>
      <c r="E316" s="2"/>
      <c r="F316" s="1"/>
      <c r="G316" s="3"/>
      <c r="H316" s="3"/>
      <c r="I316" s="3"/>
      <c r="J316" s="3"/>
      <c r="K316" s="3"/>
      <c r="L316" s="3"/>
      <c r="M316" s="3"/>
      <c r="N316" s="4"/>
      <c r="O316" s="4"/>
      <c r="P316" s="4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 x14ac:dyDescent="0.2">
      <c r="A317" s="1"/>
      <c r="B317" s="1"/>
      <c r="C317" s="2"/>
      <c r="D317" s="2"/>
      <c r="E317" s="2"/>
      <c r="F317" s="1"/>
      <c r="G317" s="3"/>
      <c r="H317" s="3"/>
      <c r="I317" s="3"/>
      <c r="J317" s="3"/>
      <c r="K317" s="3"/>
      <c r="L317" s="3"/>
      <c r="M317" s="3"/>
      <c r="N317" s="4"/>
      <c r="O317" s="4"/>
      <c r="P317" s="4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 x14ac:dyDescent="0.2">
      <c r="A318" s="1"/>
      <c r="B318" s="1"/>
      <c r="C318" s="2"/>
      <c r="D318" s="2"/>
      <c r="E318" s="2"/>
      <c r="F318" s="1"/>
      <c r="G318" s="3"/>
      <c r="H318" s="3"/>
      <c r="I318" s="3"/>
      <c r="J318" s="3"/>
      <c r="K318" s="3"/>
      <c r="L318" s="3"/>
      <c r="M318" s="3"/>
      <c r="N318" s="4"/>
      <c r="O318" s="4"/>
      <c r="P318" s="4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 x14ac:dyDescent="0.2">
      <c r="A319" s="1"/>
      <c r="B319" s="1"/>
      <c r="C319" s="2"/>
      <c r="D319" s="2"/>
      <c r="E319" s="2"/>
      <c r="F319" s="1"/>
      <c r="G319" s="3"/>
      <c r="H319" s="3"/>
      <c r="I319" s="3"/>
      <c r="J319" s="3"/>
      <c r="K319" s="3"/>
      <c r="L319" s="3"/>
      <c r="M319" s="3"/>
      <c r="N319" s="4"/>
      <c r="O319" s="4"/>
      <c r="P319" s="4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 x14ac:dyDescent="0.2">
      <c r="A320" s="1"/>
      <c r="B320" s="1"/>
      <c r="C320" s="2"/>
      <c r="D320" s="2"/>
      <c r="E320" s="2"/>
      <c r="F320" s="1"/>
      <c r="G320" s="3"/>
      <c r="H320" s="3"/>
      <c r="I320" s="3"/>
      <c r="J320" s="3"/>
      <c r="K320" s="3"/>
      <c r="L320" s="3"/>
      <c r="M320" s="3"/>
      <c r="N320" s="4"/>
      <c r="O320" s="4"/>
      <c r="P320" s="4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 x14ac:dyDescent="0.2">
      <c r="A321" s="1"/>
      <c r="B321" s="1"/>
      <c r="C321" s="2"/>
      <c r="D321" s="2"/>
      <c r="E321" s="2"/>
      <c r="F321" s="1"/>
      <c r="G321" s="3"/>
      <c r="H321" s="3"/>
      <c r="I321" s="3"/>
      <c r="J321" s="3"/>
      <c r="K321" s="3"/>
      <c r="L321" s="3"/>
      <c r="M321" s="3"/>
      <c r="N321" s="4"/>
      <c r="O321" s="4"/>
      <c r="P321" s="4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 x14ac:dyDescent="0.2">
      <c r="A322" s="1"/>
      <c r="B322" s="1"/>
      <c r="C322" s="2"/>
      <c r="D322" s="2"/>
      <c r="E322" s="2"/>
      <c r="F322" s="1"/>
      <c r="G322" s="3"/>
      <c r="H322" s="3"/>
      <c r="I322" s="3"/>
      <c r="J322" s="3"/>
      <c r="K322" s="3"/>
      <c r="L322" s="3"/>
      <c r="M322" s="3"/>
      <c r="N322" s="4"/>
      <c r="O322" s="4"/>
      <c r="P322" s="4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 x14ac:dyDescent="0.2">
      <c r="A323" s="1"/>
      <c r="B323" s="1"/>
      <c r="C323" s="2"/>
      <c r="D323" s="2"/>
      <c r="E323" s="2"/>
      <c r="F323" s="1"/>
      <c r="G323" s="3"/>
      <c r="H323" s="3"/>
      <c r="I323" s="3"/>
      <c r="J323" s="3"/>
      <c r="K323" s="3"/>
      <c r="L323" s="3"/>
      <c r="M323" s="3"/>
      <c r="N323" s="4"/>
      <c r="O323" s="4"/>
      <c r="P323" s="4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 x14ac:dyDescent="0.2">
      <c r="A324" s="1"/>
      <c r="B324" s="1"/>
      <c r="C324" s="2"/>
      <c r="D324" s="2"/>
      <c r="E324" s="2"/>
      <c r="F324" s="1"/>
      <c r="G324" s="3"/>
      <c r="H324" s="3"/>
      <c r="I324" s="3"/>
      <c r="J324" s="3"/>
      <c r="K324" s="3"/>
      <c r="L324" s="3"/>
      <c r="M324" s="3"/>
      <c r="N324" s="4"/>
      <c r="O324" s="4"/>
      <c r="P324" s="4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 x14ac:dyDescent="0.2">
      <c r="A325" s="1"/>
      <c r="B325" s="1"/>
      <c r="C325" s="2"/>
      <c r="D325" s="2"/>
      <c r="E325" s="2"/>
      <c r="F325" s="1"/>
      <c r="G325" s="3"/>
      <c r="H325" s="3"/>
      <c r="I325" s="3"/>
      <c r="J325" s="3"/>
      <c r="K325" s="3"/>
      <c r="L325" s="3"/>
      <c r="M325" s="3"/>
      <c r="N325" s="4"/>
      <c r="O325" s="4"/>
      <c r="P325" s="4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 x14ac:dyDescent="0.2">
      <c r="A326" s="1"/>
      <c r="B326" s="1"/>
      <c r="C326" s="2"/>
      <c r="D326" s="2"/>
      <c r="E326" s="2"/>
      <c r="F326" s="1"/>
      <c r="G326" s="3"/>
      <c r="H326" s="3"/>
      <c r="I326" s="3"/>
      <c r="J326" s="3"/>
      <c r="K326" s="3"/>
      <c r="L326" s="3"/>
      <c r="M326" s="3"/>
      <c r="N326" s="4"/>
      <c r="O326" s="4"/>
      <c r="P326" s="4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 x14ac:dyDescent="0.2">
      <c r="A327" s="1"/>
      <c r="B327" s="1"/>
      <c r="C327" s="2"/>
      <c r="D327" s="2"/>
      <c r="E327" s="2"/>
      <c r="F327" s="1"/>
      <c r="G327" s="3"/>
      <c r="H327" s="3"/>
      <c r="I327" s="3"/>
      <c r="J327" s="3"/>
      <c r="K327" s="3"/>
      <c r="L327" s="3"/>
      <c r="M327" s="3"/>
      <c r="N327" s="4"/>
      <c r="O327" s="4"/>
      <c r="P327" s="4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 x14ac:dyDescent="0.2">
      <c r="A328" s="1"/>
      <c r="B328" s="1"/>
      <c r="C328" s="2"/>
      <c r="D328" s="2"/>
      <c r="E328" s="2"/>
      <c r="F328" s="1"/>
      <c r="G328" s="3"/>
      <c r="H328" s="3"/>
      <c r="I328" s="3"/>
      <c r="J328" s="3"/>
      <c r="K328" s="3"/>
      <c r="L328" s="3"/>
      <c r="M328" s="3"/>
      <c r="N328" s="4"/>
      <c r="O328" s="4"/>
      <c r="P328" s="4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 x14ac:dyDescent="0.2">
      <c r="A329" s="1"/>
      <c r="B329" s="1"/>
      <c r="C329" s="2"/>
      <c r="D329" s="2"/>
      <c r="E329" s="2"/>
      <c r="F329" s="1"/>
      <c r="G329" s="3"/>
      <c r="H329" s="3"/>
      <c r="I329" s="3"/>
      <c r="J329" s="3"/>
      <c r="K329" s="3"/>
      <c r="L329" s="3"/>
      <c r="M329" s="3"/>
      <c r="N329" s="4"/>
      <c r="O329" s="4"/>
      <c r="P329" s="4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 x14ac:dyDescent="0.2">
      <c r="A330" s="1"/>
      <c r="B330" s="1"/>
      <c r="C330" s="2"/>
      <c r="D330" s="2"/>
      <c r="E330" s="2"/>
      <c r="F330" s="1"/>
      <c r="G330" s="3"/>
      <c r="H330" s="3"/>
      <c r="I330" s="3"/>
      <c r="J330" s="3"/>
      <c r="K330" s="3"/>
      <c r="L330" s="3"/>
      <c r="M330" s="3"/>
      <c r="N330" s="4"/>
      <c r="O330" s="4"/>
      <c r="P330" s="4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 x14ac:dyDescent="0.2">
      <c r="A331" s="1"/>
      <c r="B331" s="1"/>
      <c r="C331" s="2"/>
      <c r="D331" s="2"/>
      <c r="E331" s="2"/>
      <c r="F331" s="1"/>
      <c r="G331" s="3"/>
      <c r="H331" s="3"/>
      <c r="I331" s="3"/>
      <c r="J331" s="3"/>
      <c r="K331" s="3"/>
      <c r="L331" s="3"/>
      <c r="M331" s="3"/>
      <c r="N331" s="4"/>
      <c r="O331" s="4"/>
      <c r="P331" s="4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">
      <c r="A332" s="1"/>
      <c r="B332" s="1"/>
      <c r="C332" s="2"/>
      <c r="D332" s="2"/>
      <c r="E332" s="2"/>
      <c r="F332" s="1"/>
      <c r="G332" s="3"/>
      <c r="H332" s="3"/>
      <c r="I332" s="3"/>
      <c r="J332" s="3"/>
      <c r="K332" s="3"/>
      <c r="L332" s="3"/>
      <c r="M332" s="3"/>
      <c r="N332" s="4"/>
      <c r="O332" s="4"/>
      <c r="P332" s="4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">
      <c r="A333" s="1"/>
      <c r="B333" s="1"/>
      <c r="C333" s="2"/>
      <c r="D333" s="2"/>
      <c r="E333" s="2"/>
      <c r="F333" s="1"/>
      <c r="G333" s="3"/>
      <c r="H333" s="3"/>
      <c r="I333" s="3"/>
      <c r="J333" s="3"/>
      <c r="K333" s="3"/>
      <c r="L333" s="3"/>
      <c r="M333" s="3"/>
      <c r="N333" s="4"/>
      <c r="O333" s="4"/>
      <c r="P333" s="4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">
      <c r="A334" s="1"/>
      <c r="B334" s="1"/>
      <c r="C334" s="2"/>
      <c r="D334" s="2"/>
      <c r="E334" s="2"/>
      <c r="F334" s="1"/>
      <c r="G334" s="3"/>
      <c r="H334" s="3"/>
      <c r="I334" s="3"/>
      <c r="J334" s="3"/>
      <c r="K334" s="3"/>
      <c r="L334" s="3"/>
      <c r="M334" s="3"/>
      <c r="N334" s="4"/>
      <c r="O334" s="4"/>
      <c r="P334" s="4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">
      <c r="A335" s="1"/>
      <c r="B335" s="1"/>
      <c r="C335" s="2"/>
      <c r="D335" s="2"/>
      <c r="E335" s="2"/>
      <c r="F335" s="1"/>
      <c r="G335" s="3"/>
      <c r="H335" s="3"/>
      <c r="I335" s="3"/>
      <c r="J335" s="3"/>
      <c r="K335" s="3"/>
      <c r="L335" s="3"/>
      <c r="M335" s="3"/>
      <c r="N335" s="4"/>
      <c r="O335" s="4"/>
      <c r="P335" s="4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">
      <c r="A336" s="1"/>
      <c r="B336" s="1"/>
      <c r="C336" s="2"/>
      <c r="D336" s="2"/>
      <c r="E336" s="2"/>
      <c r="F336" s="1"/>
      <c r="G336" s="3"/>
      <c r="H336" s="3"/>
      <c r="I336" s="3"/>
      <c r="J336" s="3"/>
      <c r="K336" s="3"/>
      <c r="L336" s="3"/>
      <c r="M336" s="3"/>
      <c r="N336" s="4"/>
      <c r="O336" s="4"/>
      <c r="P336" s="4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">
      <c r="A337" s="1"/>
      <c r="B337" s="1"/>
      <c r="C337" s="2"/>
      <c r="D337" s="2"/>
      <c r="E337" s="2"/>
      <c r="F337" s="1"/>
      <c r="G337" s="3"/>
      <c r="H337" s="3"/>
      <c r="I337" s="3"/>
      <c r="J337" s="3"/>
      <c r="K337" s="3"/>
      <c r="L337" s="3"/>
      <c r="M337" s="3"/>
      <c r="N337" s="4"/>
      <c r="O337" s="4"/>
      <c r="P337" s="4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">
      <c r="A338" s="1"/>
      <c r="B338" s="1"/>
      <c r="C338" s="2"/>
      <c r="D338" s="2"/>
      <c r="E338" s="2"/>
      <c r="F338" s="1"/>
      <c r="G338" s="3"/>
      <c r="H338" s="3"/>
      <c r="I338" s="3"/>
      <c r="J338" s="3"/>
      <c r="K338" s="3"/>
      <c r="L338" s="3"/>
      <c r="M338" s="3"/>
      <c r="N338" s="4"/>
      <c r="O338" s="4"/>
      <c r="P338" s="4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">
      <c r="A339" s="1"/>
      <c r="B339" s="1"/>
      <c r="C339" s="2"/>
      <c r="D339" s="2"/>
      <c r="E339" s="2"/>
      <c r="F339" s="1"/>
      <c r="G339" s="3"/>
      <c r="H339" s="3"/>
      <c r="I339" s="3"/>
      <c r="J339" s="3"/>
      <c r="K339" s="3"/>
      <c r="L339" s="3"/>
      <c r="M339" s="3"/>
      <c r="N339" s="4"/>
      <c r="O339" s="4"/>
      <c r="P339" s="4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">
      <c r="A340" s="1"/>
      <c r="B340" s="1"/>
      <c r="C340" s="2"/>
      <c r="D340" s="2"/>
      <c r="E340" s="2"/>
      <c r="F340" s="1"/>
      <c r="G340" s="3"/>
      <c r="H340" s="3"/>
      <c r="I340" s="3"/>
      <c r="J340" s="3"/>
      <c r="K340" s="3"/>
      <c r="L340" s="3"/>
      <c r="M340" s="3"/>
      <c r="N340" s="4"/>
      <c r="O340" s="4"/>
      <c r="P340" s="4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">
      <c r="A341" s="1"/>
      <c r="B341" s="1"/>
      <c r="C341" s="2"/>
      <c r="D341" s="2"/>
      <c r="E341" s="2"/>
      <c r="F341" s="1"/>
      <c r="G341" s="3"/>
      <c r="H341" s="3"/>
      <c r="I341" s="3"/>
      <c r="J341" s="3"/>
      <c r="K341" s="3"/>
      <c r="L341" s="3"/>
      <c r="M341" s="3"/>
      <c r="N341" s="4"/>
      <c r="O341" s="4"/>
      <c r="P341" s="4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">
      <c r="A342" s="1"/>
      <c r="B342" s="1"/>
      <c r="C342" s="2"/>
      <c r="D342" s="2"/>
      <c r="E342" s="2"/>
      <c r="F342" s="1"/>
      <c r="G342" s="3"/>
      <c r="H342" s="3"/>
      <c r="I342" s="3"/>
      <c r="J342" s="3"/>
      <c r="K342" s="3"/>
      <c r="L342" s="3"/>
      <c r="M342" s="3"/>
      <c r="N342" s="4"/>
      <c r="O342" s="4"/>
      <c r="P342" s="4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">
      <c r="A343" s="1"/>
      <c r="B343" s="1"/>
      <c r="C343" s="2"/>
      <c r="D343" s="2"/>
      <c r="E343" s="2"/>
      <c r="F343" s="1"/>
      <c r="G343" s="3"/>
      <c r="H343" s="3"/>
      <c r="I343" s="3"/>
      <c r="J343" s="3"/>
      <c r="K343" s="3"/>
      <c r="L343" s="3"/>
      <c r="M343" s="3"/>
      <c r="N343" s="4"/>
      <c r="O343" s="4"/>
      <c r="P343" s="4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">
      <c r="A344" s="1"/>
      <c r="B344" s="1"/>
      <c r="C344" s="2"/>
      <c r="D344" s="2"/>
      <c r="E344" s="2"/>
      <c r="F344" s="1"/>
      <c r="G344" s="3"/>
      <c r="H344" s="3"/>
      <c r="I344" s="3"/>
      <c r="J344" s="3"/>
      <c r="K344" s="3"/>
      <c r="L344" s="3"/>
      <c r="M344" s="3"/>
      <c r="N344" s="4"/>
      <c r="O344" s="4"/>
      <c r="P344" s="4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">
      <c r="A345" s="1"/>
      <c r="B345" s="1"/>
      <c r="C345" s="2"/>
      <c r="D345" s="2"/>
      <c r="E345" s="2"/>
      <c r="F345" s="1"/>
      <c r="G345" s="3"/>
      <c r="H345" s="3"/>
      <c r="I345" s="3"/>
      <c r="J345" s="3"/>
      <c r="K345" s="3"/>
      <c r="L345" s="3"/>
      <c r="M345" s="3"/>
      <c r="N345" s="4"/>
      <c r="O345" s="4"/>
      <c r="P345" s="4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">
      <c r="A346" s="1"/>
      <c r="B346" s="1"/>
      <c r="C346" s="2"/>
      <c r="D346" s="2"/>
      <c r="E346" s="2"/>
      <c r="F346" s="1"/>
      <c r="G346" s="3"/>
      <c r="H346" s="3"/>
      <c r="I346" s="3"/>
      <c r="J346" s="3"/>
      <c r="K346" s="3"/>
      <c r="L346" s="3"/>
      <c r="M346" s="3"/>
      <c r="N346" s="4"/>
      <c r="O346" s="4"/>
      <c r="P346" s="4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">
      <c r="A347" s="1"/>
      <c r="B347" s="1"/>
      <c r="C347" s="2"/>
      <c r="D347" s="2"/>
      <c r="E347" s="2"/>
      <c r="F347" s="1"/>
      <c r="G347" s="3"/>
      <c r="H347" s="3"/>
      <c r="I347" s="3"/>
      <c r="J347" s="3"/>
      <c r="K347" s="3"/>
      <c r="L347" s="3"/>
      <c r="M347" s="3"/>
      <c r="N347" s="4"/>
      <c r="O347" s="4"/>
      <c r="P347" s="4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">
      <c r="A348" s="1"/>
      <c r="B348" s="1"/>
      <c r="C348" s="2"/>
      <c r="D348" s="2"/>
      <c r="E348" s="2"/>
      <c r="F348" s="1"/>
      <c r="G348" s="3"/>
      <c r="H348" s="3"/>
      <c r="I348" s="3"/>
      <c r="J348" s="3"/>
      <c r="K348" s="3"/>
      <c r="L348" s="3"/>
      <c r="M348" s="3"/>
      <c r="N348" s="4"/>
      <c r="O348" s="4"/>
      <c r="P348" s="4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">
      <c r="A349" s="1"/>
      <c r="B349" s="1"/>
      <c r="C349" s="2"/>
      <c r="D349" s="2"/>
      <c r="E349" s="2"/>
      <c r="F349" s="1"/>
      <c r="G349" s="3"/>
      <c r="H349" s="3"/>
      <c r="I349" s="3"/>
      <c r="J349" s="3"/>
      <c r="K349" s="3"/>
      <c r="L349" s="3"/>
      <c r="M349" s="3"/>
      <c r="N349" s="4"/>
      <c r="O349" s="4"/>
      <c r="P349" s="4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">
      <c r="A350" s="1"/>
      <c r="B350" s="1"/>
      <c r="C350" s="2"/>
      <c r="D350" s="2"/>
      <c r="E350" s="2"/>
      <c r="F350" s="1"/>
      <c r="G350" s="3"/>
      <c r="H350" s="3"/>
      <c r="I350" s="3"/>
      <c r="J350" s="3"/>
      <c r="K350" s="3"/>
      <c r="L350" s="3"/>
      <c r="M350" s="3"/>
      <c r="N350" s="4"/>
      <c r="O350" s="4"/>
      <c r="P350" s="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">
      <c r="A351" s="1"/>
      <c r="B351" s="1"/>
      <c r="C351" s="2"/>
      <c r="D351" s="2"/>
      <c r="E351" s="2"/>
      <c r="F351" s="1"/>
      <c r="G351" s="3"/>
      <c r="H351" s="3"/>
      <c r="I351" s="3"/>
      <c r="J351" s="3"/>
      <c r="K351" s="3"/>
      <c r="L351" s="3"/>
      <c r="M351" s="3"/>
      <c r="N351" s="4"/>
      <c r="O351" s="4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">
      <c r="A352" s="1"/>
      <c r="B352" s="1"/>
      <c r="C352" s="2"/>
      <c r="D352" s="2"/>
      <c r="E352" s="2"/>
      <c r="F352" s="1"/>
      <c r="G352" s="3"/>
      <c r="H352" s="3"/>
      <c r="I352" s="3"/>
      <c r="J352" s="3"/>
      <c r="K352" s="3"/>
      <c r="L352" s="3"/>
      <c r="M352" s="3"/>
      <c r="N352" s="4"/>
      <c r="O352" s="4"/>
      <c r="P352" s="4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">
      <c r="A353" s="1"/>
      <c r="B353" s="1"/>
      <c r="C353" s="2"/>
      <c r="D353" s="2"/>
      <c r="E353" s="2"/>
      <c r="F353" s="1"/>
      <c r="G353" s="3"/>
      <c r="H353" s="3"/>
      <c r="I353" s="3"/>
      <c r="J353" s="3"/>
      <c r="K353" s="3"/>
      <c r="L353" s="3"/>
      <c r="M353" s="3"/>
      <c r="N353" s="4"/>
      <c r="O353" s="4"/>
      <c r="P353" s="4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">
      <c r="A354" s="1"/>
      <c r="B354" s="1"/>
      <c r="C354" s="2"/>
      <c r="D354" s="2"/>
      <c r="E354" s="2"/>
      <c r="F354" s="1"/>
      <c r="G354" s="3"/>
      <c r="H354" s="3"/>
      <c r="I354" s="3"/>
      <c r="J354" s="3"/>
      <c r="K354" s="3"/>
      <c r="L354" s="3"/>
      <c r="M354" s="3"/>
      <c r="N354" s="4"/>
      <c r="O354" s="4"/>
      <c r="P354" s="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">
      <c r="A355" s="1"/>
      <c r="B355" s="1"/>
      <c r="C355" s="2"/>
      <c r="D355" s="2"/>
      <c r="E355" s="2"/>
      <c r="F355" s="1"/>
      <c r="G355" s="3"/>
      <c r="H355" s="3"/>
      <c r="I355" s="3"/>
      <c r="J355" s="3"/>
      <c r="K355" s="3"/>
      <c r="L355" s="3"/>
      <c r="M355" s="3"/>
      <c r="N355" s="4"/>
      <c r="O355" s="4"/>
      <c r="P355" s="4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">
      <c r="A356" s="1"/>
      <c r="B356" s="1"/>
      <c r="C356" s="2"/>
      <c r="D356" s="2"/>
      <c r="E356" s="2"/>
      <c r="F356" s="1"/>
      <c r="G356" s="3"/>
      <c r="H356" s="3"/>
      <c r="I356" s="3"/>
      <c r="J356" s="3"/>
      <c r="K356" s="3"/>
      <c r="L356" s="3"/>
      <c r="M356" s="3"/>
      <c r="N356" s="4"/>
      <c r="O356" s="4"/>
      <c r="P356" s="4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">
      <c r="A357" s="1"/>
      <c r="B357" s="1"/>
      <c r="C357" s="2"/>
      <c r="D357" s="2"/>
      <c r="E357" s="2"/>
      <c r="F357" s="1"/>
      <c r="G357" s="3"/>
      <c r="H357" s="3"/>
      <c r="I357" s="3"/>
      <c r="J357" s="3"/>
      <c r="K357" s="3"/>
      <c r="L357" s="3"/>
      <c r="M357" s="3"/>
      <c r="N357" s="4"/>
      <c r="O357" s="4"/>
      <c r="P357" s="4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">
      <c r="A358" s="1"/>
      <c r="B358" s="1"/>
      <c r="C358" s="2"/>
      <c r="D358" s="2"/>
      <c r="E358" s="2"/>
      <c r="F358" s="1"/>
      <c r="G358" s="3"/>
      <c r="H358" s="3"/>
      <c r="I358" s="3"/>
      <c r="J358" s="3"/>
      <c r="K358" s="3"/>
      <c r="L358" s="3"/>
      <c r="M358" s="3"/>
      <c r="N358" s="4"/>
      <c r="O358" s="4"/>
      <c r="P358" s="4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">
      <c r="A359" s="1"/>
      <c r="B359" s="1"/>
      <c r="C359" s="2"/>
      <c r="D359" s="2"/>
      <c r="E359" s="2"/>
      <c r="F359" s="1"/>
      <c r="G359" s="3"/>
      <c r="H359" s="3"/>
      <c r="I359" s="3"/>
      <c r="J359" s="3"/>
      <c r="K359" s="3"/>
      <c r="L359" s="3"/>
      <c r="M359" s="3"/>
      <c r="N359" s="4"/>
      <c r="O359" s="4"/>
      <c r="P359" s="4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">
      <c r="A360" s="1"/>
      <c r="B360" s="1"/>
      <c r="C360" s="2"/>
      <c r="D360" s="2"/>
      <c r="E360" s="2"/>
      <c r="F360" s="1"/>
      <c r="G360" s="3"/>
      <c r="H360" s="3"/>
      <c r="I360" s="3"/>
      <c r="J360" s="3"/>
      <c r="K360" s="3"/>
      <c r="L360" s="3"/>
      <c r="M360" s="3"/>
      <c r="N360" s="4"/>
      <c r="O360" s="4"/>
      <c r="P360" s="4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">
      <c r="A361" s="1"/>
      <c r="B361" s="1"/>
      <c r="C361" s="2"/>
      <c r="D361" s="2"/>
      <c r="E361" s="2"/>
      <c r="F361" s="1"/>
      <c r="G361" s="3"/>
      <c r="H361" s="3"/>
      <c r="I361" s="3"/>
      <c r="J361" s="3"/>
      <c r="K361" s="3"/>
      <c r="L361" s="3"/>
      <c r="M361" s="3"/>
      <c r="N361" s="4"/>
      <c r="O361" s="4"/>
      <c r="P361" s="4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">
      <c r="A362" s="1"/>
      <c r="B362" s="1"/>
      <c r="C362" s="2"/>
      <c r="D362" s="2"/>
      <c r="E362" s="2"/>
      <c r="F362" s="1"/>
      <c r="G362" s="3"/>
      <c r="H362" s="3"/>
      <c r="I362" s="3"/>
      <c r="J362" s="3"/>
      <c r="K362" s="3"/>
      <c r="L362" s="3"/>
      <c r="M362" s="3"/>
      <c r="N362" s="4"/>
      <c r="O362" s="4"/>
      <c r="P362" s="4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">
      <c r="A363" s="1"/>
      <c r="B363" s="1"/>
      <c r="C363" s="2"/>
      <c r="D363" s="2"/>
      <c r="E363" s="2"/>
      <c r="F363" s="1"/>
      <c r="G363" s="3"/>
      <c r="H363" s="3"/>
      <c r="I363" s="3"/>
      <c r="J363" s="3"/>
      <c r="K363" s="3"/>
      <c r="L363" s="3"/>
      <c r="M363" s="3"/>
      <c r="N363" s="4"/>
      <c r="O363" s="4"/>
      <c r="P363" s="4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">
      <c r="A364" s="1"/>
      <c r="B364" s="1"/>
      <c r="C364" s="2"/>
      <c r="D364" s="2"/>
      <c r="E364" s="2"/>
      <c r="F364" s="1"/>
      <c r="G364" s="3"/>
      <c r="H364" s="3"/>
      <c r="I364" s="3"/>
      <c r="J364" s="3"/>
      <c r="K364" s="3"/>
      <c r="L364" s="3"/>
      <c r="M364" s="3"/>
      <c r="N364" s="4"/>
      <c r="O364" s="4"/>
      <c r="P364" s="4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">
      <c r="A365" s="1"/>
      <c r="B365" s="1"/>
      <c r="C365" s="2"/>
      <c r="D365" s="2"/>
      <c r="E365" s="2"/>
      <c r="F365" s="1"/>
      <c r="G365" s="3"/>
      <c r="H365" s="3"/>
      <c r="I365" s="3"/>
      <c r="J365" s="3"/>
      <c r="K365" s="3"/>
      <c r="L365" s="3"/>
      <c r="M365" s="3"/>
      <c r="N365" s="4"/>
      <c r="O365" s="4"/>
      <c r="P365" s="4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">
      <c r="A366" s="1"/>
      <c r="B366" s="1"/>
      <c r="C366" s="2"/>
      <c r="D366" s="2"/>
      <c r="E366" s="2"/>
      <c r="F366" s="1"/>
      <c r="G366" s="3"/>
      <c r="H366" s="3"/>
      <c r="I366" s="3"/>
      <c r="J366" s="3"/>
      <c r="K366" s="3"/>
      <c r="L366" s="3"/>
      <c r="M366" s="3"/>
      <c r="N366" s="4"/>
      <c r="O366" s="4"/>
      <c r="P366" s="4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">
      <c r="A367" s="1"/>
      <c r="B367" s="1"/>
      <c r="C367" s="2"/>
      <c r="D367" s="2"/>
      <c r="E367" s="2"/>
      <c r="F367" s="1"/>
      <c r="G367" s="3"/>
      <c r="H367" s="3"/>
      <c r="I367" s="3"/>
      <c r="J367" s="3"/>
      <c r="K367" s="3"/>
      <c r="L367" s="3"/>
      <c r="M367" s="3"/>
      <c r="N367" s="4"/>
      <c r="O367" s="4"/>
      <c r="P367" s="4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">
      <c r="A368" s="1"/>
      <c r="B368" s="1"/>
      <c r="C368" s="2"/>
      <c r="D368" s="2"/>
      <c r="E368" s="2"/>
      <c r="F368" s="1"/>
      <c r="G368" s="3"/>
      <c r="H368" s="3"/>
      <c r="I368" s="3"/>
      <c r="J368" s="3"/>
      <c r="K368" s="3"/>
      <c r="L368" s="3"/>
      <c r="M368" s="3"/>
      <c r="N368" s="4"/>
      <c r="O368" s="4"/>
      <c r="P368" s="4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">
      <c r="A369" s="1"/>
      <c r="B369" s="1"/>
      <c r="C369" s="2"/>
      <c r="D369" s="2"/>
      <c r="E369" s="2"/>
      <c r="F369" s="1"/>
      <c r="G369" s="3"/>
      <c r="H369" s="3"/>
      <c r="I369" s="3"/>
      <c r="J369" s="3"/>
      <c r="K369" s="3"/>
      <c r="L369" s="3"/>
      <c r="M369" s="3"/>
      <c r="N369" s="4"/>
      <c r="O369" s="4"/>
      <c r="P369" s="4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">
      <c r="A370" s="1"/>
      <c r="B370" s="1"/>
      <c r="C370" s="2"/>
      <c r="D370" s="2"/>
      <c r="E370" s="2"/>
      <c r="F370" s="1"/>
      <c r="G370" s="3"/>
      <c r="H370" s="3"/>
      <c r="I370" s="3"/>
      <c r="J370" s="3"/>
      <c r="K370" s="3"/>
      <c r="L370" s="3"/>
      <c r="M370" s="3"/>
      <c r="N370" s="4"/>
      <c r="O370" s="4"/>
      <c r="P370" s="4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">
      <c r="A371" s="1"/>
      <c r="B371" s="1"/>
      <c r="C371" s="2"/>
      <c r="D371" s="2"/>
      <c r="E371" s="2"/>
      <c r="F371" s="1"/>
      <c r="G371" s="3"/>
      <c r="H371" s="3"/>
      <c r="I371" s="3"/>
      <c r="J371" s="3"/>
      <c r="K371" s="3"/>
      <c r="L371" s="3"/>
      <c r="M371" s="3"/>
      <c r="N371" s="4"/>
      <c r="O371" s="4"/>
      <c r="P371" s="4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">
      <c r="A372" s="1"/>
      <c r="B372" s="1"/>
      <c r="C372" s="2"/>
      <c r="D372" s="2"/>
      <c r="E372" s="2"/>
      <c r="F372" s="1"/>
      <c r="G372" s="3"/>
      <c r="H372" s="3"/>
      <c r="I372" s="3"/>
      <c r="J372" s="3"/>
      <c r="K372" s="3"/>
      <c r="L372" s="3"/>
      <c r="M372" s="3"/>
      <c r="N372" s="4"/>
      <c r="O372" s="4"/>
      <c r="P372" s="4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">
      <c r="A373" s="1"/>
      <c r="B373" s="1"/>
      <c r="C373" s="2"/>
      <c r="D373" s="2"/>
      <c r="E373" s="2"/>
      <c r="F373" s="1"/>
      <c r="G373" s="3"/>
      <c r="H373" s="3"/>
      <c r="I373" s="3"/>
      <c r="J373" s="3"/>
      <c r="K373" s="3"/>
      <c r="L373" s="3"/>
      <c r="M373" s="3"/>
      <c r="N373" s="4"/>
      <c r="O373" s="4"/>
      <c r="P373" s="4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">
      <c r="A374" s="1"/>
      <c r="B374" s="1"/>
      <c r="C374" s="2"/>
      <c r="D374" s="2"/>
      <c r="E374" s="2"/>
      <c r="F374" s="1"/>
      <c r="G374" s="3"/>
      <c r="H374" s="3"/>
      <c r="I374" s="3"/>
      <c r="J374" s="3"/>
      <c r="K374" s="3"/>
      <c r="L374" s="3"/>
      <c r="M374" s="3"/>
      <c r="N374" s="4"/>
      <c r="O374" s="4"/>
      <c r="P374" s="4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">
      <c r="A375" s="1"/>
      <c r="B375" s="1"/>
      <c r="C375" s="2"/>
      <c r="D375" s="2"/>
      <c r="E375" s="2"/>
      <c r="F375" s="1"/>
      <c r="G375" s="3"/>
      <c r="H375" s="3"/>
      <c r="I375" s="3"/>
      <c r="J375" s="3"/>
      <c r="K375" s="3"/>
      <c r="L375" s="3"/>
      <c r="M375" s="3"/>
      <c r="N375" s="4"/>
      <c r="O375" s="4"/>
      <c r="P375" s="4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">
      <c r="A376" s="1"/>
      <c r="B376" s="1"/>
      <c r="C376" s="2"/>
      <c r="D376" s="2"/>
      <c r="E376" s="2"/>
      <c r="F376" s="1"/>
      <c r="G376" s="3"/>
      <c r="H376" s="3"/>
      <c r="I376" s="3"/>
      <c r="J376" s="3"/>
      <c r="K376" s="3"/>
      <c r="L376" s="3"/>
      <c r="M376" s="3"/>
      <c r="N376" s="4"/>
      <c r="O376" s="4"/>
      <c r="P376" s="4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">
      <c r="A377" s="1"/>
      <c r="B377" s="1"/>
      <c r="C377" s="2"/>
      <c r="D377" s="2"/>
      <c r="E377" s="2"/>
      <c r="F377" s="1"/>
      <c r="G377" s="3"/>
      <c r="H377" s="3"/>
      <c r="I377" s="3"/>
      <c r="J377" s="3"/>
      <c r="K377" s="3"/>
      <c r="L377" s="3"/>
      <c r="M377" s="3"/>
      <c r="N377" s="4"/>
      <c r="O377" s="4"/>
      <c r="P377" s="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">
      <c r="N378" s="62"/>
      <c r="O378" s="62"/>
      <c r="P378" s="62"/>
    </row>
    <row r="379" spans="1:32" ht="15.75" customHeight="1" x14ac:dyDescent="0.2">
      <c r="N379" s="62"/>
      <c r="O379" s="62"/>
      <c r="P379" s="62"/>
    </row>
    <row r="380" spans="1:32" ht="15.75" customHeight="1" x14ac:dyDescent="0.2">
      <c r="N380" s="62"/>
      <c r="O380" s="62"/>
      <c r="P380" s="62"/>
    </row>
    <row r="381" spans="1:32" ht="15.75" customHeight="1" x14ac:dyDescent="0.2">
      <c r="N381" s="62"/>
      <c r="O381" s="62"/>
      <c r="P381" s="62"/>
    </row>
    <row r="382" spans="1:32" ht="15.75" customHeight="1" x14ac:dyDescent="0.2">
      <c r="N382" s="62"/>
      <c r="O382" s="62"/>
      <c r="P382" s="62"/>
    </row>
    <row r="383" spans="1:32" ht="15.75" customHeight="1" x14ac:dyDescent="0.2">
      <c r="N383" s="62"/>
      <c r="O383" s="62"/>
      <c r="P383" s="62"/>
    </row>
    <row r="384" spans="1:32" ht="15.75" customHeight="1" x14ac:dyDescent="0.2">
      <c r="N384" s="62"/>
      <c r="O384" s="62"/>
      <c r="P384" s="62"/>
    </row>
    <row r="385" spans="14:16" ht="15.75" customHeight="1" x14ac:dyDescent="0.2">
      <c r="N385" s="62"/>
      <c r="O385" s="62"/>
      <c r="P385" s="62"/>
    </row>
    <row r="386" spans="14:16" ht="15.75" customHeight="1" x14ac:dyDescent="0.2">
      <c r="N386" s="62"/>
      <c r="O386" s="62"/>
      <c r="P386" s="62"/>
    </row>
    <row r="387" spans="14:16" ht="15.75" customHeight="1" x14ac:dyDescent="0.2">
      <c r="N387" s="62"/>
      <c r="O387" s="62"/>
      <c r="P387" s="62"/>
    </row>
    <row r="388" spans="14:16" ht="15.75" customHeight="1" x14ac:dyDescent="0.2">
      <c r="N388" s="62"/>
      <c r="O388" s="62"/>
      <c r="P388" s="62"/>
    </row>
    <row r="389" spans="14:16" ht="15.75" customHeight="1" x14ac:dyDescent="0.2">
      <c r="N389" s="62"/>
      <c r="O389" s="62"/>
      <c r="P389" s="62"/>
    </row>
    <row r="390" spans="14:16" ht="15.75" customHeight="1" x14ac:dyDescent="0.2">
      <c r="N390" s="62"/>
      <c r="O390" s="62"/>
      <c r="P390" s="62"/>
    </row>
    <row r="391" spans="14:16" ht="15.75" customHeight="1" x14ac:dyDescent="0.2">
      <c r="N391" s="62"/>
      <c r="O391" s="62"/>
      <c r="P391" s="62"/>
    </row>
    <row r="392" spans="14:16" ht="15.75" customHeight="1" x14ac:dyDescent="0.2">
      <c r="N392" s="62"/>
      <c r="O392" s="62"/>
      <c r="P392" s="62"/>
    </row>
    <row r="393" spans="14:16" ht="15.75" customHeight="1" x14ac:dyDescent="0.2">
      <c r="N393" s="62"/>
      <c r="O393" s="62"/>
      <c r="P393" s="62"/>
    </row>
    <row r="394" spans="14:16" ht="15.75" customHeight="1" x14ac:dyDescent="0.2">
      <c r="N394" s="62"/>
      <c r="O394" s="62"/>
      <c r="P394" s="62"/>
    </row>
    <row r="395" spans="14:16" ht="15.75" customHeight="1" x14ac:dyDescent="0.2">
      <c r="N395" s="62"/>
      <c r="O395" s="62"/>
      <c r="P395" s="62"/>
    </row>
    <row r="396" spans="14:16" ht="15.75" customHeight="1" x14ac:dyDescent="0.2">
      <c r="N396" s="62"/>
      <c r="O396" s="62"/>
      <c r="P396" s="62"/>
    </row>
    <row r="397" spans="14:16" ht="15.75" customHeight="1" x14ac:dyDescent="0.2">
      <c r="N397" s="62"/>
      <c r="O397" s="62"/>
      <c r="P397" s="62"/>
    </row>
    <row r="398" spans="14:16" ht="15.75" customHeight="1" x14ac:dyDescent="0.2">
      <c r="N398" s="62"/>
      <c r="O398" s="62"/>
      <c r="P398" s="62"/>
    </row>
    <row r="399" spans="14:16" ht="15.75" customHeight="1" x14ac:dyDescent="0.2">
      <c r="N399" s="62"/>
      <c r="O399" s="62"/>
      <c r="P399" s="62"/>
    </row>
    <row r="400" spans="14:16" ht="15.75" customHeight="1" x14ac:dyDescent="0.2">
      <c r="N400" s="62"/>
      <c r="O400" s="62"/>
      <c r="P400" s="62"/>
    </row>
    <row r="401" spans="14:16" ht="15.75" customHeight="1" x14ac:dyDescent="0.2">
      <c r="N401" s="62"/>
      <c r="O401" s="62"/>
      <c r="P401" s="62"/>
    </row>
    <row r="402" spans="14:16" ht="15.75" customHeight="1" x14ac:dyDescent="0.2">
      <c r="N402" s="62"/>
      <c r="O402" s="62"/>
      <c r="P402" s="62"/>
    </row>
    <row r="403" spans="14:16" ht="15.75" customHeight="1" x14ac:dyDescent="0.2">
      <c r="N403" s="62"/>
      <c r="O403" s="62"/>
      <c r="P403" s="62"/>
    </row>
    <row r="404" spans="14:16" ht="15.75" customHeight="1" x14ac:dyDescent="0.2">
      <c r="N404" s="62"/>
      <c r="O404" s="62"/>
      <c r="P404" s="62"/>
    </row>
    <row r="405" spans="14:16" ht="15.75" customHeight="1" x14ac:dyDescent="0.2">
      <c r="N405" s="62"/>
      <c r="O405" s="62"/>
      <c r="P405" s="62"/>
    </row>
    <row r="406" spans="14:16" ht="15.75" customHeight="1" x14ac:dyDescent="0.2">
      <c r="N406" s="62"/>
      <c r="O406" s="62"/>
      <c r="P406" s="62"/>
    </row>
    <row r="407" spans="14:16" ht="15.75" customHeight="1" x14ac:dyDescent="0.2">
      <c r="N407" s="62"/>
      <c r="O407" s="62"/>
      <c r="P407" s="62"/>
    </row>
    <row r="408" spans="14:16" ht="15.75" customHeight="1" x14ac:dyDescent="0.2">
      <c r="N408" s="62"/>
      <c r="O408" s="62"/>
      <c r="P408" s="62"/>
    </row>
    <row r="409" spans="14:16" ht="15.75" customHeight="1" x14ac:dyDescent="0.2">
      <c r="N409" s="62"/>
      <c r="O409" s="62"/>
      <c r="P409" s="62"/>
    </row>
    <row r="410" spans="14:16" ht="15.75" customHeight="1" x14ac:dyDescent="0.2">
      <c r="N410" s="62"/>
      <c r="O410" s="62"/>
      <c r="P410" s="62"/>
    </row>
    <row r="411" spans="14:16" ht="15.75" customHeight="1" x14ac:dyDescent="0.2">
      <c r="N411" s="62"/>
      <c r="O411" s="62"/>
      <c r="P411" s="62"/>
    </row>
    <row r="412" spans="14:16" ht="15.75" customHeight="1" x14ac:dyDescent="0.2">
      <c r="N412" s="62"/>
      <c r="O412" s="62"/>
      <c r="P412" s="62"/>
    </row>
    <row r="413" spans="14:16" ht="15.75" customHeight="1" x14ac:dyDescent="0.2">
      <c r="N413" s="62"/>
      <c r="O413" s="62"/>
      <c r="P413" s="62"/>
    </row>
    <row r="414" spans="14:16" ht="15.75" customHeight="1" x14ac:dyDescent="0.2">
      <c r="N414" s="62"/>
      <c r="O414" s="62"/>
      <c r="P414" s="62"/>
    </row>
    <row r="415" spans="14:16" ht="15.75" customHeight="1" x14ac:dyDescent="0.2">
      <c r="N415" s="62"/>
      <c r="O415" s="62"/>
      <c r="P415" s="62"/>
    </row>
    <row r="416" spans="14:16" ht="15.75" customHeight="1" x14ac:dyDescent="0.2">
      <c r="N416" s="62"/>
      <c r="O416" s="62"/>
      <c r="P416" s="62"/>
    </row>
    <row r="417" spans="14:16" ht="15.75" customHeight="1" x14ac:dyDescent="0.2">
      <c r="N417" s="62"/>
      <c r="O417" s="62"/>
      <c r="P417" s="62"/>
    </row>
    <row r="418" spans="14:16" ht="15.75" customHeight="1" x14ac:dyDescent="0.2">
      <c r="N418" s="62"/>
      <c r="O418" s="62"/>
      <c r="P418" s="62"/>
    </row>
    <row r="419" spans="14:16" ht="15.75" customHeight="1" x14ac:dyDescent="0.2">
      <c r="N419" s="62"/>
      <c r="O419" s="62"/>
      <c r="P419" s="62"/>
    </row>
    <row r="420" spans="14:16" ht="15.75" customHeight="1" x14ac:dyDescent="0.2">
      <c r="N420" s="62"/>
      <c r="O420" s="62"/>
      <c r="P420" s="62"/>
    </row>
    <row r="421" spans="14:16" ht="15.75" customHeight="1" x14ac:dyDescent="0.2">
      <c r="N421" s="62"/>
      <c r="O421" s="62"/>
      <c r="P421" s="62"/>
    </row>
    <row r="422" spans="14:16" ht="15.75" customHeight="1" x14ac:dyDescent="0.2">
      <c r="N422" s="62"/>
      <c r="O422" s="62"/>
      <c r="P422" s="62"/>
    </row>
    <row r="423" spans="14:16" ht="15.75" customHeight="1" x14ac:dyDescent="0.2">
      <c r="N423" s="62"/>
      <c r="O423" s="62"/>
      <c r="P423" s="62"/>
    </row>
    <row r="424" spans="14:16" ht="15.75" customHeight="1" x14ac:dyDescent="0.2">
      <c r="N424" s="62"/>
      <c r="O424" s="62"/>
      <c r="P424" s="62"/>
    </row>
    <row r="425" spans="14:16" ht="15.75" customHeight="1" x14ac:dyDescent="0.2">
      <c r="N425" s="62"/>
      <c r="O425" s="62"/>
      <c r="P425" s="62"/>
    </row>
    <row r="426" spans="14:16" ht="15.75" customHeight="1" x14ac:dyDescent="0.2">
      <c r="N426" s="62"/>
      <c r="O426" s="62"/>
      <c r="P426" s="62"/>
    </row>
    <row r="427" spans="14:16" ht="15.75" customHeight="1" x14ac:dyDescent="0.2">
      <c r="N427" s="62"/>
      <c r="O427" s="62"/>
      <c r="P427" s="62"/>
    </row>
    <row r="428" spans="14:16" ht="15.75" customHeight="1" x14ac:dyDescent="0.2">
      <c r="N428" s="62"/>
      <c r="O428" s="62"/>
      <c r="P428" s="62"/>
    </row>
    <row r="429" spans="14:16" ht="15.75" customHeight="1" x14ac:dyDescent="0.2">
      <c r="N429" s="62"/>
      <c r="O429" s="62"/>
      <c r="P429" s="62"/>
    </row>
    <row r="430" spans="14:16" ht="15.75" customHeight="1" x14ac:dyDescent="0.2">
      <c r="N430" s="62"/>
      <c r="O430" s="62"/>
      <c r="P430" s="62"/>
    </row>
    <row r="431" spans="14:16" ht="15.75" customHeight="1" x14ac:dyDescent="0.2">
      <c r="N431" s="62"/>
      <c r="O431" s="62"/>
      <c r="P431" s="62"/>
    </row>
    <row r="432" spans="14:16" ht="15.75" customHeight="1" x14ac:dyDescent="0.2">
      <c r="N432" s="62"/>
      <c r="O432" s="62"/>
      <c r="P432" s="62"/>
    </row>
    <row r="433" spans="14:16" ht="15.75" customHeight="1" x14ac:dyDescent="0.2">
      <c r="N433" s="62"/>
      <c r="O433" s="62"/>
      <c r="P433" s="62"/>
    </row>
    <row r="434" spans="14:16" ht="15.75" customHeight="1" x14ac:dyDescent="0.2">
      <c r="N434" s="62"/>
      <c r="O434" s="62"/>
      <c r="P434" s="62"/>
    </row>
    <row r="435" spans="14:16" ht="15.75" customHeight="1" x14ac:dyDescent="0.2">
      <c r="N435" s="62"/>
      <c r="O435" s="62"/>
      <c r="P435" s="62"/>
    </row>
    <row r="436" spans="14:16" ht="15.75" customHeight="1" x14ac:dyDescent="0.2">
      <c r="N436" s="62"/>
      <c r="O436" s="62"/>
      <c r="P436" s="62"/>
    </row>
    <row r="437" spans="14:16" ht="15.75" customHeight="1" x14ac:dyDescent="0.2">
      <c r="N437" s="62"/>
      <c r="O437" s="62"/>
      <c r="P437" s="62"/>
    </row>
    <row r="438" spans="14:16" ht="15.75" customHeight="1" x14ac:dyDescent="0.2">
      <c r="N438" s="62"/>
      <c r="O438" s="62"/>
      <c r="P438" s="62"/>
    </row>
    <row r="439" spans="14:16" ht="15.75" customHeight="1" x14ac:dyDescent="0.2">
      <c r="N439" s="62"/>
      <c r="O439" s="62"/>
      <c r="P439" s="62"/>
    </row>
    <row r="440" spans="14:16" ht="15.75" customHeight="1" x14ac:dyDescent="0.2">
      <c r="N440" s="62"/>
      <c r="O440" s="62"/>
      <c r="P440" s="62"/>
    </row>
    <row r="441" spans="14:16" ht="15.75" customHeight="1" x14ac:dyDescent="0.2">
      <c r="N441" s="62"/>
      <c r="O441" s="62"/>
      <c r="P441" s="62"/>
    </row>
    <row r="442" spans="14:16" ht="15.75" customHeight="1" x14ac:dyDescent="0.2">
      <c r="N442" s="62"/>
      <c r="O442" s="62"/>
      <c r="P442" s="62"/>
    </row>
    <row r="443" spans="14:16" ht="15.75" customHeight="1" x14ac:dyDescent="0.2">
      <c r="N443" s="62"/>
      <c r="O443" s="62"/>
      <c r="P443" s="62"/>
    </row>
    <row r="444" spans="14:16" ht="15.75" customHeight="1" x14ac:dyDescent="0.2">
      <c r="N444" s="62"/>
      <c r="O444" s="62"/>
      <c r="P444" s="62"/>
    </row>
    <row r="445" spans="14:16" ht="15.75" customHeight="1" x14ac:dyDescent="0.2">
      <c r="N445" s="62"/>
      <c r="O445" s="62"/>
      <c r="P445" s="62"/>
    </row>
    <row r="446" spans="14:16" ht="15.75" customHeight="1" x14ac:dyDescent="0.2">
      <c r="N446" s="62"/>
      <c r="O446" s="62"/>
      <c r="P446" s="62"/>
    </row>
    <row r="447" spans="14:16" ht="15.75" customHeight="1" x14ac:dyDescent="0.2">
      <c r="N447" s="62"/>
      <c r="O447" s="62"/>
      <c r="P447" s="62"/>
    </row>
    <row r="448" spans="14:16" ht="15.75" customHeight="1" x14ac:dyDescent="0.2">
      <c r="N448" s="62"/>
      <c r="O448" s="62"/>
      <c r="P448" s="62"/>
    </row>
    <row r="449" spans="14:16" ht="15.75" customHeight="1" x14ac:dyDescent="0.2">
      <c r="N449" s="62"/>
      <c r="O449" s="62"/>
      <c r="P449" s="62"/>
    </row>
    <row r="450" spans="14:16" ht="15.75" customHeight="1" x14ac:dyDescent="0.2">
      <c r="N450" s="62"/>
      <c r="O450" s="62"/>
      <c r="P450" s="62"/>
    </row>
    <row r="451" spans="14:16" ht="15.75" customHeight="1" x14ac:dyDescent="0.2">
      <c r="N451" s="62"/>
      <c r="O451" s="62"/>
      <c r="P451" s="62"/>
    </row>
    <row r="452" spans="14:16" ht="15.75" customHeight="1" x14ac:dyDescent="0.2">
      <c r="N452" s="62"/>
      <c r="O452" s="62"/>
      <c r="P452" s="62"/>
    </row>
    <row r="453" spans="14:16" ht="15.75" customHeight="1" x14ac:dyDescent="0.2">
      <c r="N453" s="62"/>
      <c r="O453" s="62"/>
      <c r="P453" s="62"/>
    </row>
    <row r="454" spans="14:16" ht="15.75" customHeight="1" x14ac:dyDescent="0.2">
      <c r="N454" s="62"/>
      <c r="O454" s="62"/>
      <c r="P454" s="62"/>
    </row>
    <row r="455" spans="14:16" ht="15.75" customHeight="1" x14ac:dyDescent="0.2">
      <c r="N455" s="62"/>
      <c r="O455" s="62"/>
      <c r="P455" s="62"/>
    </row>
    <row r="456" spans="14:16" ht="15.75" customHeight="1" x14ac:dyDescent="0.2">
      <c r="N456" s="62"/>
      <c r="O456" s="62"/>
      <c r="P456" s="62"/>
    </row>
    <row r="457" spans="14:16" ht="15.75" customHeight="1" x14ac:dyDescent="0.2">
      <c r="N457" s="62"/>
      <c r="O457" s="62"/>
      <c r="P457" s="62"/>
    </row>
    <row r="458" spans="14:16" ht="15.75" customHeight="1" x14ac:dyDescent="0.2">
      <c r="N458" s="62"/>
      <c r="O458" s="62"/>
      <c r="P458" s="62"/>
    </row>
    <row r="459" spans="14:16" ht="15.75" customHeight="1" x14ac:dyDescent="0.2">
      <c r="N459" s="62"/>
      <c r="O459" s="62"/>
      <c r="P459" s="62"/>
    </row>
    <row r="460" spans="14:16" ht="15.75" customHeight="1" x14ac:dyDescent="0.2">
      <c r="N460" s="62"/>
      <c r="O460" s="62"/>
      <c r="P460" s="62"/>
    </row>
    <row r="461" spans="14:16" ht="15.75" customHeight="1" x14ac:dyDescent="0.2">
      <c r="N461" s="62"/>
      <c r="O461" s="62"/>
      <c r="P461" s="62"/>
    </row>
    <row r="462" spans="14:16" ht="15.75" customHeight="1" x14ac:dyDescent="0.2">
      <c r="N462" s="62"/>
      <c r="O462" s="62"/>
      <c r="P462" s="62"/>
    </row>
    <row r="463" spans="14:16" ht="15.75" customHeight="1" x14ac:dyDescent="0.2">
      <c r="N463" s="62"/>
      <c r="O463" s="62"/>
      <c r="P463" s="62"/>
    </row>
    <row r="464" spans="14:16" ht="15.75" customHeight="1" x14ac:dyDescent="0.2">
      <c r="N464" s="62"/>
      <c r="O464" s="62"/>
      <c r="P464" s="62"/>
    </row>
    <row r="465" spans="14:16" ht="15.75" customHeight="1" x14ac:dyDescent="0.2">
      <c r="N465" s="62"/>
      <c r="O465" s="62"/>
      <c r="P465" s="62"/>
    </row>
    <row r="466" spans="14:16" ht="15.75" customHeight="1" x14ac:dyDescent="0.2">
      <c r="N466" s="62"/>
      <c r="O466" s="62"/>
      <c r="P466" s="62"/>
    </row>
    <row r="467" spans="14:16" ht="15.75" customHeight="1" x14ac:dyDescent="0.2">
      <c r="N467" s="62"/>
      <c r="O467" s="62"/>
      <c r="P467" s="62"/>
    </row>
    <row r="468" spans="14:16" ht="15.75" customHeight="1" x14ac:dyDescent="0.2">
      <c r="N468" s="62"/>
      <c r="O468" s="62"/>
      <c r="P468" s="62"/>
    </row>
    <row r="469" spans="14:16" ht="15.75" customHeight="1" x14ac:dyDescent="0.2">
      <c r="N469" s="62"/>
      <c r="O469" s="62"/>
      <c r="P469" s="62"/>
    </row>
    <row r="470" spans="14:16" ht="15.75" customHeight="1" x14ac:dyDescent="0.2">
      <c r="N470" s="62"/>
      <c r="O470" s="62"/>
      <c r="P470" s="62"/>
    </row>
    <row r="471" spans="14:16" ht="15.75" customHeight="1" x14ac:dyDescent="0.2">
      <c r="N471" s="62"/>
      <c r="O471" s="62"/>
      <c r="P471" s="62"/>
    </row>
    <row r="472" spans="14:16" ht="15.75" customHeight="1" x14ac:dyDescent="0.2">
      <c r="N472" s="62"/>
      <c r="O472" s="62"/>
      <c r="P472" s="62"/>
    </row>
    <row r="473" spans="14:16" ht="15.75" customHeight="1" x14ac:dyDescent="0.2">
      <c r="N473" s="62"/>
      <c r="O473" s="62"/>
      <c r="P473" s="62"/>
    </row>
    <row r="474" spans="14:16" ht="15.75" customHeight="1" x14ac:dyDescent="0.2">
      <c r="N474" s="62"/>
      <c r="O474" s="62"/>
      <c r="P474" s="62"/>
    </row>
    <row r="475" spans="14:16" ht="15.75" customHeight="1" x14ac:dyDescent="0.2">
      <c r="N475" s="62"/>
      <c r="O475" s="62"/>
      <c r="P475" s="62"/>
    </row>
    <row r="476" spans="14:16" ht="15.75" customHeight="1" x14ac:dyDescent="0.2">
      <c r="N476" s="62"/>
      <c r="O476" s="62"/>
      <c r="P476" s="62"/>
    </row>
    <row r="477" spans="14:16" ht="15.75" customHeight="1" x14ac:dyDescent="0.2">
      <c r="N477" s="62"/>
      <c r="O477" s="62"/>
      <c r="P477" s="62"/>
    </row>
    <row r="478" spans="14:16" ht="15.75" customHeight="1" x14ac:dyDescent="0.2">
      <c r="N478" s="62"/>
      <c r="O478" s="62"/>
      <c r="P478" s="62"/>
    </row>
    <row r="479" spans="14:16" ht="15.75" customHeight="1" x14ac:dyDescent="0.2">
      <c r="N479" s="62"/>
      <c r="O479" s="62"/>
      <c r="P479" s="62"/>
    </row>
    <row r="480" spans="14:16" ht="15.75" customHeight="1" x14ac:dyDescent="0.2">
      <c r="N480" s="62"/>
      <c r="O480" s="62"/>
      <c r="P480" s="62"/>
    </row>
    <row r="481" spans="14:16" ht="15.75" customHeight="1" x14ac:dyDescent="0.2">
      <c r="N481" s="62"/>
      <c r="O481" s="62"/>
      <c r="P481" s="62"/>
    </row>
    <row r="482" spans="14:16" ht="15.75" customHeight="1" x14ac:dyDescent="0.2">
      <c r="N482" s="62"/>
      <c r="O482" s="62"/>
      <c r="P482" s="62"/>
    </row>
    <row r="483" spans="14:16" ht="15.75" customHeight="1" x14ac:dyDescent="0.2">
      <c r="N483" s="62"/>
      <c r="O483" s="62"/>
      <c r="P483" s="62"/>
    </row>
    <row r="484" spans="14:16" ht="15.75" customHeight="1" x14ac:dyDescent="0.2">
      <c r="N484" s="62"/>
      <c r="O484" s="62"/>
      <c r="P484" s="62"/>
    </row>
    <row r="485" spans="14:16" ht="15.75" customHeight="1" x14ac:dyDescent="0.2">
      <c r="N485" s="62"/>
      <c r="O485" s="62"/>
      <c r="P485" s="62"/>
    </row>
    <row r="486" spans="14:16" ht="15.75" customHeight="1" x14ac:dyDescent="0.2">
      <c r="N486" s="62"/>
      <c r="O486" s="62"/>
      <c r="P486" s="62"/>
    </row>
    <row r="487" spans="14:16" ht="15.75" customHeight="1" x14ac:dyDescent="0.2">
      <c r="N487" s="62"/>
      <c r="O487" s="62"/>
      <c r="P487" s="62"/>
    </row>
    <row r="488" spans="14:16" ht="15.75" customHeight="1" x14ac:dyDescent="0.2">
      <c r="N488" s="62"/>
      <c r="O488" s="62"/>
      <c r="P488" s="62"/>
    </row>
    <row r="489" spans="14:16" ht="15.75" customHeight="1" x14ac:dyDescent="0.2">
      <c r="N489" s="62"/>
      <c r="O489" s="62"/>
      <c r="P489" s="62"/>
    </row>
    <row r="490" spans="14:16" ht="15.75" customHeight="1" x14ac:dyDescent="0.2">
      <c r="N490" s="62"/>
      <c r="O490" s="62"/>
      <c r="P490" s="62"/>
    </row>
    <row r="491" spans="14:16" ht="15.75" customHeight="1" x14ac:dyDescent="0.2">
      <c r="N491" s="62"/>
      <c r="O491" s="62"/>
      <c r="P491" s="62"/>
    </row>
    <row r="492" spans="14:16" ht="15.75" customHeight="1" x14ac:dyDescent="0.2">
      <c r="N492" s="62"/>
      <c r="O492" s="62"/>
      <c r="P492" s="62"/>
    </row>
    <row r="493" spans="14:16" ht="15.75" customHeight="1" x14ac:dyDescent="0.2">
      <c r="N493" s="62"/>
      <c r="O493" s="62"/>
      <c r="P493" s="62"/>
    </row>
    <row r="494" spans="14:16" ht="15.75" customHeight="1" x14ac:dyDescent="0.2">
      <c r="N494" s="62"/>
      <c r="O494" s="62"/>
      <c r="P494" s="62"/>
    </row>
    <row r="495" spans="14:16" ht="15.75" customHeight="1" x14ac:dyDescent="0.2">
      <c r="N495" s="62"/>
      <c r="O495" s="62"/>
      <c r="P495" s="62"/>
    </row>
    <row r="496" spans="14:16" ht="15.75" customHeight="1" x14ac:dyDescent="0.2">
      <c r="N496" s="62"/>
      <c r="O496" s="62"/>
      <c r="P496" s="62"/>
    </row>
    <row r="497" spans="14:16" ht="15.75" customHeight="1" x14ac:dyDescent="0.2">
      <c r="N497" s="62"/>
      <c r="O497" s="62"/>
      <c r="P497" s="62"/>
    </row>
    <row r="498" spans="14:16" ht="15.75" customHeight="1" x14ac:dyDescent="0.2">
      <c r="N498" s="62"/>
      <c r="O498" s="62"/>
      <c r="P498" s="62"/>
    </row>
    <row r="499" spans="14:16" ht="15.75" customHeight="1" x14ac:dyDescent="0.2">
      <c r="N499" s="62"/>
      <c r="O499" s="62"/>
      <c r="P499" s="62"/>
    </row>
    <row r="500" spans="14:16" ht="15.75" customHeight="1" x14ac:dyDescent="0.2">
      <c r="N500" s="62"/>
      <c r="O500" s="62"/>
      <c r="P500" s="62"/>
    </row>
    <row r="501" spans="14:16" ht="15.75" customHeight="1" x14ac:dyDescent="0.2">
      <c r="N501" s="62"/>
      <c r="O501" s="62"/>
      <c r="P501" s="62"/>
    </row>
    <row r="502" spans="14:16" ht="15.75" customHeight="1" x14ac:dyDescent="0.2">
      <c r="N502" s="62"/>
      <c r="O502" s="62"/>
      <c r="P502" s="62"/>
    </row>
    <row r="503" spans="14:16" ht="15.75" customHeight="1" x14ac:dyDescent="0.2">
      <c r="N503" s="62"/>
      <c r="O503" s="62"/>
      <c r="P503" s="62"/>
    </row>
    <row r="504" spans="14:16" ht="15.75" customHeight="1" x14ac:dyDescent="0.2">
      <c r="N504" s="62"/>
      <c r="O504" s="62"/>
      <c r="P504" s="62"/>
    </row>
    <row r="505" spans="14:16" ht="15.75" customHeight="1" x14ac:dyDescent="0.2">
      <c r="N505" s="62"/>
      <c r="O505" s="62"/>
      <c r="P505" s="62"/>
    </row>
    <row r="506" spans="14:16" ht="15.75" customHeight="1" x14ac:dyDescent="0.2">
      <c r="N506" s="62"/>
      <c r="O506" s="62"/>
      <c r="P506" s="62"/>
    </row>
    <row r="507" spans="14:16" ht="15.75" customHeight="1" x14ac:dyDescent="0.2">
      <c r="N507" s="62"/>
      <c r="O507" s="62"/>
      <c r="P507" s="62"/>
    </row>
    <row r="508" spans="14:16" ht="15.75" customHeight="1" x14ac:dyDescent="0.2">
      <c r="N508" s="62"/>
      <c r="O508" s="62"/>
      <c r="P508" s="62"/>
    </row>
    <row r="509" spans="14:16" ht="15.75" customHeight="1" x14ac:dyDescent="0.2">
      <c r="N509" s="62"/>
      <c r="O509" s="62"/>
      <c r="P509" s="62"/>
    </row>
    <row r="510" spans="14:16" ht="15.75" customHeight="1" x14ac:dyDescent="0.2">
      <c r="N510" s="62"/>
      <c r="O510" s="62"/>
      <c r="P510" s="62"/>
    </row>
    <row r="511" spans="14:16" ht="15.75" customHeight="1" x14ac:dyDescent="0.2">
      <c r="N511" s="62"/>
      <c r="O511" s="62"/>
      <c r="P511" s="62"/>
    </row>
    <row r="512" spans="14:16" ht="15.75" customHeight="1" x14ac:dyDescent="0.2">
      <c r="N512" s="62"/>
      <c r="O512" s="62"/>
      <c r="P512" s="62"/>
    </row>
    <row r="513" spans="14:16" ht="15.75" customHeight="1" x14ac:dyDescent="0.2">
      <c r="N513" s="62"/>
      <c r="O513" s="62"/>
      <c r="P513" s="62"/>
    </row>
    <row r="514" spans="14:16" ht="15.75" customHeight="1" x14ac:dyDescent="0.2">
      <c r="N514" s="62"/>
      <c r="O514" s="62"/>
      <c r="P514" s="62"/>
    </row>
    <row r="515" spans="14:16" ht="15.75" customHeight="1" x14ac:dyDescent="0.2">
      <c r="N515" s="62"/>
      <c r="O515" s="62"/>
      <c r="P515" s="62"/>
    </row>
    <row r="516" spans="14:16" ht="15.75" customHeight="1" x14ac:dyDescent="0.2">
      <c r="N516" s="62"/>
      <c r="O516" s="62"/>
      <c r="P516" s="62"/>
    </row>
    <row r="517" spans="14:16" ht="15.75" customHeight="1" x14ac:dyDescent="0.2">
      <c r="N517" s="62"/>
      <c r="O517" s="62"/>
      <c r="P517" s="62"/>
    </row>
    <row r="518" spans="14:16" ht="15.75" customHeight="1" x14ac:dyDescent="0.2">
      <c r="N518" s="62"/>
      <c r="O518" s="62"/>
      <c r="P518" s="62"/>
    </row>
    <row r="519" spans="14:16" ht="15.75" customHeight="1" x14ac:dyDescent="0.2">
      <c r="N519" s="62"/>
      <c r="O519" s="62"/>
      <c r="P519" s="62"/>
    </row>
    <row r="520" spans="14:16" ht="15.75" customHeight="1" x14ac:dyDescent="0.2">
      <c r="N520" s="62"/>
      <c r="O520" s="62"/>
      <c r="P520" s="62"/>
    </row>
    <row r="521" spans="14:16" ht="15.75" customHeight="1" x14ac:dyDescent="0.2">
      <c r="N521" s="62"/>
      <c r="O521" s="62"/>
      <c r="P521" s="62"/>
    </row>
    <row r="522" spans="14:16" ht="15.75" customHeight="1" x14ac:dyDescent="0.2">
      <c r="N522" s="62"/>
      <c r="O522" s="62"/>
      <c r="P522" s="62"/>
    </row>
    <row r="523" spans="14:16" ht="15.75" customHeight="1" x14ac:dyDescent="0.2">
      <c r="N523" s="62"/>
      <c r="O523" s="62"/>
      <c r="P523" s="62"/>
    </row>
    <row r="524" spans="14:16" ht="15.75" customHeight="1" x14ac:dyDescent="0.2">
      <c r="N524" s="62"/>
      <c r="O524" s="62"/>
      <c r="P524" s="62"/>
    </row>
    <row r="525" spans="14:16" ht="15.75" customHeight="1" x14ac:dyDescent="0.2">
      <c r="N525" s="62"/>
      <c r="O525" s="62"/>
      <c r="P525" s="62"/>
    </row>
    <row r="526" spans="14:16" ht="15.75" customHeight="1" x14ac:dyDescent="0.2">
      <c r="N526" s="62"/>
      <c r="O526" s="62"/>
      <c r="P526" s="62"/>
    </row>
    <row r="527" spans="14:16" ht="15.75" customHeight="1" x14ac:dyDescent="0.2">
      <c r="N527" s="62"/>
      <c r="O527" s="62"/>
      <c r="P527" s="62"/>
    </row>
    <row r="528" spans="14:16" ht="15.75" customHeight="1" x14ac:dyDescent="0.2">
      <c r="N528" s="62"/>
      <c r="O528" s="62"/>
      <c r="P528" s="62"/>
    </row>
    <row r="529" spans="14:16" ht="15.75" customHeight="1" x14ac:dyDescent="0.2">
      <c r="N529" s="62"/>
      <c r="O529" s="62"/>
      <c r="P529" s="62"/>
    </row>
    <row r="530" spans="14:16" ht="15.75" customHeight="1" x14ac:dyDescent="0.2">
      <c r="N530" s="62"/>
      <c r="O530" s="62"/>
      <c r="P530" s="62"/>
    </row>
    <row r="531" spans="14:16" ht="15.75" customHeight="1" x14ac:dyDescent="0.2">
      <c r="N531" s="62"/>
      <c r="O531" s="62"/>
      <c r="P531" s="62"/>
    </row>
    <row r="532" spans="14:16" ht="15.75" customHeight="1" x14ac:dyDescent="0.2">
      <c r="N532" s="62"/>
      <c r="O532" s="62"/>
      <c r="P532" s="62"/>
    </row>
    <row r="533" spans="14:16" ht="15.75" customHeight="1" x14ac:dyDescent="0.2">
      <c r="N533" s="62"/>
      <c r="O533" s="62"/>
      <c r="P533" s="62"/>
    </row>
    <row r="534" spans="14:16" ht="15.75" customHeight="1" x14ac:dyDescent="0.2">
      <c r="N534" s="62"/>
      <c r="O534" s="62"/>
      <c r="P534" s="62"/>
    </row>
    <row r="535" spans="14:16" ht="15.75" customHeight="1" x14ac:dyDescent="0.2">
      <c r="N535" s="62"/>
      <c r="O535" s="62"/>
      <c r="P535" s="62"/>
    </row>
    <row r="536" spans="14:16" ht="15.75" customHeight="1" x14ac:dyDescent="0.2">
      <c r="N536" s="62"/>
      <c r="O536" s="62"/>
      <c r="P536" s="62"/>
    </row>
    <row r="537" spans="14:16" ht="15.75" customHeight="1" x14ac:dyDescent="0.2">
      <c r="N537" s="62"/>
      <c r="O537" s="62"/>
      <c r="P537" s="62"/>
    </row>
    <row r="538" spans="14:16" ht="15.75" customHeight="1" x14ac:dyDescent="0.2">
      <c r="N538" s="62"/>
      <c r="O538" s="62"/>
      <c r="P538" s="62"/>
    </row>
    <row r="539" spans="14:16" ht="15.75" customHeight="1" x14ac:dyDescent="0.2">
      <c r="N539" s="62"/>
      <c r="O539" s="62"/>
      <c r="P539" s="62"/>
    </row>
    <row r="540" spans="14:16" ht="15.75" customHeight="1" x14ac:dyDescent="0.2">
      <c r="N540" s="62"/>
      <c r="O540" s="62"/>
      <c r="P540" s="62"/>
    </row>
    <row r="541" spans="14:16" ht="15.75" customHeight="1" x14ac:dyDescent="0.2">
      <c r="N541" s="62"/>
      <c r="O541" s="62"/>
      <c r="P541" s="62"/>
    </row>
    <row r="542" spans="14:16" ht="15.75" customHeight="1" x14ac:dyDescent="0.2">
      <c r="N542" s="62"/>
      <c r="O542" s="62"/>
      <c r="P542" s="62"/>
    </row>
    <row r="543" spans="14:16" ht="15.75" customHeight="1" x14ac:dyDescent="0.2">
      <c r="N543" s="62"/>
      <c r="O543" s="62"/>
      <c r="P543" s="62"/>
    </row>
    <row r="544" spans="14:16" ht="15.75" customHeight="1" x14ac:dyDescent="0.2">
      <c r="N544" s="62"/>
      <c r="O544" s="62"/>
      <c r="P544" s="62"/>
    </row>
    <row r="545" spans="14:16" ht="15.75" customHeight="1" x14ac:dyDescent="0.2">
      <c r="N545" s="62"/>
      <c r="O545" s="62"/>
      <c r="P545" s="62"/>
    </row>
    <row r="546" spans="14:16" ht="15.75" customHeight="1" x14ac:dyDescent="0.2">
      <c r="N546" s="62"/>
      <c r="O546" s="62"/>
      <c r="P546" s="62"/>
    </row>
    <row r="547" spans="14:16" ht="15.75" customHeight="1" x14ac:dyDescent="0.2">
      <c r="N547" s="62"/>
      <c r="O547" s="62"/>
      <c r="P547" s="62"/>
    </row>
    <row r="548" spans="14:16" ht="15.75" customHeight="1" x14ac:dyDescent="0.2">
      <c r="N548" s="62"/>
      <c r="O548" s="62"/>
      <c r="P548" s="62"/>
    </row>
    <row r="549" spans="14:16" ht="15.75" customHeight="1" x14ac:dyDescent="0.2">
      <c r="N549" s="62"/>
      <c r="O549" s="62"/>
      <c r="P549" s="62"/>
    </row>
    <row r="550" spans="14:16" ht="15.75" customHeight="1" x14ac:dyDescent="0.2">
      <c r="N550" s="62"/>
      <c r="O550" s="62"/>
      <c r="P550" s="62"/>
    </row>
    <row r="551" spans="14:16" ht="15.75" customHeight="1" x14ac:dyDescent="0.2">
      <c r="N551" s="62"/>
      <c r="O551" s="62"/>
      <c r="P551" s="62"/>
    </row>
    <row r="552" spans="14:16" ht="15.75" customHeight="1" x14ac:dyDescent="0.2">
      <c r="N552" s="62"/>
      <c r="O552" s="62"/>
      <c r="P552" s="62"/>
    </row>
    <row r="553" spans="14:16" ht="15.75" customHeight="1" x14ac:dyDescent="0.2">
      <c r="N553" s="62"/>
      <c r="O553" s="62"/>
      <c r="P553" s="62"/>
    </row>
    <row r="554" spans="14:16" ht="15.75" customHeight="1" x14ac:dyDescent="0.2">
      <c r="N554" s="62"/>
      <c r="O554" s="62"/>
      <c r="P554" s="62"/>
    </row>
    <row r="555" spans="14:16" ht="15.75" customHeight="1" x14ac:dyDescent="0.2">
      <c r="N555" s="62"/>
      <c r="O555" s="62"/>
      <c r="P555" s="62"/>
    </row>
    <row r="556" spans="14:16" ht="15.75" customHeight="1" x14ac:dyDescent="0.2">
      <c r="N556" s="62"/>
      <c r="O556" s="62"/>
      <c r="P556" s="62"/>
    </row>
    <row r="557" spans="14:16" ht="15.75" customHeight="1" x14ac:dyDescent="0.2">
      <c r="N557" s="62"/>
      <c r="O557" s="62"/>
      <c r="P557" s="62"/>
    </row>
    <row r="558" spans="14:16" ht="15.75" customHeight="1" x14ac:dyDescent="0.2">
      <c r="N558" s="62"/>
      <c r="O558" s="62"/>
      <c r="P558" s="62"/>
    </row>
    <row r="559" spans="14:16" ht="15.75" customHeight="1" x14ac:dyDescent="0.2">
      <c r="N559" s="62"/>
      <c r="O559" s="62"/>
      <c r="P559" s="62"/>
    </row>
    <row r="560" spans="14:16" ht="15.75" customHeight="1" x14ac:dyDescent="0.2">
      <c r="N560" s="62"/>
      <c r="O560" s="62"/>
      <c r="P560" s="62"/>
    </row>
    <row r="561" spans="14:16" ht="15.75" customHeight="1" x14ac:dyDescent="0.2">
      <c r="N561" s="62"/>
      <c r="O561" s="62"/>
      <c r="P561" s="62"/>
    </row>
    <row r="562" spans="14:16" ht="15.75" customHeight="1" x14ac:dyDescent="0.2">
      <c r="N562" s="62"/>
      <c r="O562" s="62"/>
      <c r="P562" s="62"/>
    </row>
    <row r="563" spans="14:16" ht="15.75" customHeight="1" x14ac:dyDescent="0.2">
      <c r="N563" s="62"/>
      <c r="O563" s="62"/>
      <c r="P563" s="62"/>
    </row>
    <row r="564" spans="14:16" ht="15.75" customHeight="1" x14ac:dyDescent="0.2">
      <c r="N564" s="62"/>
      <c r="O564" s="62"/>
      <c r="P564" s="62"/>
    </row>
    <row r="565" spans="14:16" ht="15.75" customHeight="1" x14ac:dyDescent="0.2">
      <c r="N565" s="62"/>
      <c r="O565" s="62"/>
      <c r="P565" s="62"/>
    </row>
    <row r="566" spans="14:16" ht="15.75" customHeight="1" x14ac:dyDescent="0.2">
      <c r="N566" s="62"/>
      <c r="O566" s="62"/>
      <c r="P566" s="62"/>
    </row>
    <row r="567" spans="14:16" ht="15.75" customHeight="1" x14ac:dyDescent="0.2">
      <c r="N567" s="62"/>
      <c r="O567" s="62"/>
      <c r="P567" s="62"/>
    </row>
    <row r="568" spans="14:16" ht="15.75" customHeight="1" x14ac:dyDescent="0.2">
      <c r="N568" s="62"/>
      <c r="O568" s="62"/>
      <c r="P568" s="62"/>
    </row>
    <row r="569" spans="14:16" ht="15.75" customHeight="1" x14ac:dyDescent="0.2">
      <c r="N569" s="62"/>
      <c r="O569" s="62"/>
      <c r="P569" s="62"/>
    </row>
    <row r="570" spans="14:16" ht="15.75" customHeight="1" x14ac:dyDescent="0.2">
      <c r="N570" s="62"/>
      <c r="O570" s="62"/>
      <c r="P570" s="62"/>
    </row>
    <row r="571" spans="14:16" ht="15.75" customHeight="1" x14ac:dyDescent="0.2">
      <c r="N571" s="62"/>
      <c r="O571" s="62"/>
      <c r="P571" s="62"/>
    </row>
    <row r="572" spans="14:16" ht="15.75" customHeight="1" x14ac:dyDescent="0.2">
      <c r="N572" s="62"/>
      <c r="O572" s="62"/>
      <c r="P572" s="62"/>
    </row>
    <row r="573" spans="14:16" ht="15.75" customHeight="1" x14ac:dyDescent="0.2">
      <c r="N573" s="62"/>
      <c r="O573" s="62"/>
      <c r="P573" s="62"/>
    </row>
    <row r="574" spans="14:16" ht="15.75" customHeight="1" x14ac:dyDescent="0.2">
      <c r="N574" s="62"/>
      <c r="O574" s="62"/>
      <c r="P574" s="62"/>
    </row>
    <row r="575" spans="14:16" ht="15.75" customHeight="1" x14ac:dyDescent="0.2">
      <c r="N575" s="62"/>
      <c r="O575" s="62"/>
      <c r="P575" s="62"/>
    </row>
    <row r="576" spans="14:16" ht="15.75" customHeight="1" x14ac:dyDescent="0.2">
      <c r="N576" s="62"/>
      <c r="O576" s="62"/>
      <c r="P576" s="62"/>
    </row>
    <row r="577" spans="14:16" ht="15.75" customHeight="1" x14ac:dyDescent="0.2">
      <c r="N577" s="62"/>
      <c r="O577" s="62"/>
      <c r="P577" s="62"/>
    </row>
    <row r="578" spans="14:16" ht="15.75" customHeight="1" x14ac:dyDescent="0.2">
      <c r="N578" s="62"/>
      <c r="O578" s="62"/>
      <c r="P578" s="62"/>
    </row>
    <row r="579" spans="14:16" ht="15.75" customHeight="1" x14ac:dyDescent="0.2">
      <c r="N579" s="62"/>
      <c r="O579" s="62"/>
      <c r="P579" s="62"/>
    </row>
    <row r="580" spans="14:16" ht="15.75" customHeight="1" x14ac:dyDescent="0.2">
      <c r="N580" s="62"/>
      <c r="O580" s="62"/>
      <c r="P580" s="62"/>
    </row>
    <row r="581" spans="14:16" ht="15.75" customHeight="1" x14ac:dyDescent="0.2">
      <c r="N581" s="62"/>
      <c r="O581" s="62"/>
      <c r="P581" s="62"/>
    </row>
    <row r="582" spans="14:16" ht="15.75" customHeight="1" x14ac:dyDescent="0.2">
      <c r="N582" s="62"/>
      <c r="O582" s="62"/>
      <c r="P582" s="62"/>
    </row>
    <row r="583" spans="14:16" ht="15.75" customHeight="1" x14ac:dyDescent="0.2">
      <c r="N583" s="62"/>
      <c r="O583" s="62"/>
      <c r="P583" s="62"/>
    </row>
    <row r="584" spans="14:16" ht="15.75" customHeight="1" x14ac:dyDescent="0.2">
      <c r="N584" s="62"/>
      <c r="O584" s="62"/>
      <c r="P584" s="62"/>
    </row>
    <row r="585" spans="14:16" ht="15.75" customHeight="1" x14ac:dyDescent="0.2">
      <c r="N585" s="62"/>
      <c r="O585" s="62"/>
      <c r="P585" s="62"/>
    </row>
    <row r="586" spans="14:16" ht="15.75" customHeight="1" x14ac:dyDescent="0.2">
      <c r="N586" s="62"/>
      <c r="O586" s="62"/>
      <c r="P586" s="62"/>
    </row>
    <row r="587" spans="14:16" ht="15.75" customHeight="1" x14ac:dyDescent="0.2">
      <c r="N587" s="62"/>
      <c r="O587" s="62"/>
      <c r="P587" s="62"/>
    </row>
    <row r="588" spans="14:16" ht="15.75" customHeight="1" x14ac:dyDescent="0.2">
      <c r="N588" s="62"/>
      <c r="O588" s="62"/>
      <c r="P588" s="62"/>
    </row>
    <row r="589" spans="14:16" ht="15.75" customHeight="1" x14ac:dyDescent="0.2">
      <c r="N589" s="62"/>
      <c r="O589" s="62"/>
      <c r="P589" s="62"/>
    </row>
    <row r="590" spans="14:16" ht="15.75" customHeight="1" x14ac:dyDescent="0.2">
      <c r="N590" s="62"/>
      <c r="O590" s="62"/>
      <c r="P590" s="62"/>
    </row>
    <row r="591" spans="14:16" ht="15.75" customHeight="1" x14ac:dyDescent="0.2">
      <c r="N591" s="62"/>
      <c r="O591" s="62"/>
      <c r="P591" s="62"/>
    </row>
    <row r="592" spans="14:16" ht="15.75" customHeight="1" x14ac:dyDescent="0.2">
      <c r="N592" s="62"/>
      <c r="O592" s="62"/>
      <c r="P592" s="62"/>
    </row>
    <row r="593" spans="14:16" ht="15.75" customHeight="1" x14ac:dyDescent="0.2">
      <c r="N593" s="62"/>
      <c r="O593" s="62"/>
      <c r="P593" s="62"/>
    </row>
    <row r="594" spans="14:16" ht="15.75" customHeight="1" x14ac:dyDescent="0.2">
      <c r="N594" s="62"/>
      <c r="O594" s="62"/>
      <c r="P594" s="62"/>
    </row>
    <row r="595" spans="14:16" ht="15.75" customHeight="1" x14ac:dyDescent="0.2">
      <c r="N595" s="62"/>
      <c r="O595" s="62"/>
      <c r="P595" s="62"/>
    </row>
    <row r="596" spans="14:16" ht="15.75" customHeight="1" x14ac:dyDescent="0.2">
      <c r="N596" s="62"/>
      <c r="O596" s="62"/>
      <c r="P596" s="62"/>
    </row>
    <row r="597" spans="14:16" ht="15.75" customHeight="1" x14ac:dyDescent="0.2">
      <c r="N597" s="62"/>
      <c r="O597" s="62"/>
      <c r="P597" s="62"/>
    </row>
    <row r="598" spans="14:16" ht="15.75" customHeight="1" x14ac:dyDescent="0.2">
      <c r="N598" s="62"/>
      <c r="O598" s="62"/>
      <c r="P598" s="62"/>
    </row>
    <row r="599" spans="14:16" ht="15.75" customHeight="1" x14ac:dyDescent="0.2">
      <c r="N599" s="62"/>
      <c r="O599" s="62"/>
      <c r="P599" s="62"/>
    </row>
    <row r="600" spans="14:16" ht="15.75" customHeight="1" x14ac:dyDescent="0.2">
      <c r="N600" s="62"/>
      <c r="O600" s="62"/>
      <c r="P600" s="62"/>
    </row>
    <row r="601" spans="14:16" ht="15.75" customHeight="1" x14ac:dyDescent="0.2">
      <c r="N601" s="62"/>
      <c r="O601" s="62"/>
      <c r="P601" s="62"/>
    </row>
    <row r="602" spans="14:16" ht="15.75" customHeight="1" x14ac:dyDescent="0.2">
      <c r="N602" s="62"/>
      <c r="O602" s="62"/>
      <c r="P602" s="62"/>
    </row>
    <row r="603" spans="14:16" ht="15.75" customHeight="1" x14ac:dyDescent="0.2">
      <c r="N603" s="62"/>
      <c r="O603" s="62"/>
      <c r="P603" s="62"/>
    </row>
    <row r="604" spans="14:16" ht="15.75" customHeight="1" x14ac:dyDescent="0.2">
      <c r="N604" s="62"/>
      <c r="O604" s="62"/>
      <c r="P604" s="62"/>
    </row>
    <row r="605" spans="14:16" ht="15.75" customHeight="1" x14ac:dyDescent="0.2">
      <c r="N605" s="62"/>
      <c r="O605" s="62"/>
      <c r="P605" s="62"/>
    </row>
    <row r="606" spans="14:16" ht="15.75" customHeight="1" x14ac:dyDescent="0.2">
      <c r="N606" s="62"/>
      <c r="O606" s="62"/>
      <c r="P606" s="62"/>
    </row>
    <row r="607" spans="14:16" ht="15.75" customHeight="1" x14ac:dyDescent="0.2">
      <c r="N607" s="62"/>
      <c r="O607" s="62"/>
      <c r="P607" s="62"/>
    </row>
    <row r="608" spans="14:16" ht="15.75" customHeight="1" x14ac:dyDescent="0.2">
      <c r="N608" s="62"/>
      <c r="O608" s="62"/>
      <c r="P608" s="62"/>
    </row>
    <row r="609" spans="14:16" ht="15.75" customHeight="1" x14ac:dyDescent="0.2">
      <c r="N609" s="62"/>
      <c r="O609" s="62"/>
      <c r="P609" s="62"/>
    </row>
    <row r="610" spans="14:16" ht="15.75" customHeight="1" x14ac:dyDescent="0.2">
      <c r="N610" s="62"/>
      <c r="O610" s="62"/>
      <c r="P610" s="62"/>
    </row>
    <row r="611" spans="14:16" ht="15.75" customHeight="1" x14ac:dyDescent="0.2">
      <c r="N611" s="62"/>
      <c r="O611" s="62"/>
      <c r="P611" s="62"/>
    </row>
    <row r="612" spans="14:16" ht="15.75" customHeight="1" x14ac:dyDescent="0.2">
      <c r="N612" s="62"/>
      <c r="O612" s="62"/>
      <c r="P612" s="62"/>
    </row>
    <row r="613" spans="14:16" ht="15.75" customHeight="1" x14ac:dyDescent="0.2">
      <c r="N613" s="62"/>
      <c r="O613" s="62"/>
      <c r="P613" s="62"/>
    </row>
    <row r="614" spans="14:16" ht="15.75" customHeight="1" x14ac:dyDescent="0.2">
      <c r="N614" s="62"/>
      <c r="O614" s="62"/>
      <c r="P614" s="62"/>
    </row>
    <row r="615" spans="14:16" ht="15.75" customHeight="1" x14ac:dyDescent="0.2">
      <c r="N615" s="62"/>
      <c r="O615" s="62"/>
      <c r="P615" s="62"/>
    </row>
    <row r="616" spans="14:16" ht="15.75" customHeight="1" x14ac:dyDescent="0.2">
      <c r="N616" s="62"/>
      <c r="O616" s="62"/>
      <c r="P616" s="62"/>
    </row>
    <row r="617" spans="14:16" ht="15.75" customHeight="1" x14ac:dyDescent="0.2">
      <c r="N617" s="62"/>
      <c r="O617" s="62"/>
      <c r="P617" s="62"/>
    </row>
    <row r="618" spans="14:16" ht="15.75" customHeight="1" x14ac:dyDescent="0.2">
      <c r="N618" s="62"/>
      <c r="O618" s="62"/>
      <c r="P618" s="62"/>
    </row>
    <row r="619" spans="14:16" ht="15.75" customHeight="1" x14ac:dyDescent="0.2">
      <c r="N619" s="62"/>
      <c r="O619" s="62"/>
      <c r="P619" s="62"/>
    </row>
    <row r="620" spans="14:16" ht="15.75" customHeight="1" x14ac:dyDescent="0.2">
      <c r="N620" s="62"/>
      <c r="O620" s="62"/>
      <c r="P620" s="62"/>
    </row>
    <row r="621" spans="14:16" ht="15.75" customHeight="1" x14ac:dyDescent="0.2">
      <c r="N621" s="62"/>
      <c r="O621" s="62"/>
      <c r="P621" s="62"/>
    </row>
    <row r="622" spans="14:16" ht="15.75" customHeight="1" x14ac:dyDescent="0.2">
      <c r="N622" s="62"/>
      <c r="O622" s="62"/>
      <c r="P622" s="62"/>
    </row>
    <row r="623" spans="14:16" ht="15.75" customHeight="1" x14ac:dyDescent="0.2">
      <c r="N623" s="62"/>
      <c r="O623" s="62"/>
      <c r="P623" s="62"/>
    </row>
    <row r="624" spans="14:16" ht="15.75" customHeight="1" x14ac:dyDescent="0.2">
      <c r="N624" s="62"/>
      <c r="O624" s="62"/>
      <c r="P624" s="62"/>
    </row>
    <row r="625" spans="14:16" ht="15.75" customHeight="1" x14ac:dyDescent="0.2">
      <c r="N625" s="62"/>
      <c r="O625" s="62"/>
      <c r="P625" s="62"/>
    </row>
    <row r="626" spans="14:16" ht="15.75" customHeight="1" x14ac:dyDescent="0.2">
      <c r="N626" s="62"/>
      <c r="O626" s="62"/>
      <c r="P626" s="62"/>
    </row>
    <row r="627" spans="14:16" ht="15.75" customHeight="1" x14ac:dyDescent="0.2">
      <c r="N627" s="62"/>
      <c r="O627" s="62"/>
      <c r="P627" s="62"/>
    </row>
    <row r="628" spans="14:16" ht="15.75" customHeight="1" x14ac:dyDescent="0.2">
      <c r="N628" s="62"/>
      <c r="O628" s="62"/>
      <c r="P628" s="62"/>
    </row>
    <row r="629" spans="14:16" ht="15.75" customHeight="1" x14ac:dyDescent="0.2">
      <c r="N629" s="62"/>
      <c r="O629" s="62"/>
      <c r="P629" s="62"/>
    </row>
    <row r="630" spans="14:16" ht="15.75" customHeight="1" x14ac:dyDescent="0.2">
      <c r="N630" s="62"/>
      <c r="O630" s="62"/>
      <c r="P630" s="62"/>
    </row>
    <row r="631" spans="14:16" ht="15.75" customHeight="1" x14ac:dyDescent="0.2">
      <c r="N631" s="62"/>
      <c r="O631" s="62"/>
      <c r="P631" s="62"/>
    </row>
    <row r="632" spans="14:16" ht="15.75" customHeight="1" x14ac:dyDescent="0.2">
      <c r="N632" s="62"/>
      <c r="O632" s="62"/>
      <c r="P632" s="62"/>
    </row>
    <row r="633" spans="14:16" ht="15.75" customHeight="1" x14ac:dyDescent="0.2">
      <c r="N633" s="62"/>
      <c r="O633" s="62"/>
      <c r="P633" s="62"/>
    </row>
    <row r="634" spans="14:16" ht="15.75" customHeight="1" x14ac:dyDescent="0.2">
      <c r="N634" s="62"/>
      <c r="O634" s="62"/>
      <c r="P634" s="62"/>
    </row>
    <row r="635" spans="14:16" ht="15.75" customHeight="1" x14ac:dyDescent="0.2">
      <c r="N635" s="62"/>
      <c r="O635" s="62"/>
      <c r="P635" s="62"/>
    </row>
    <row r="636" spans="14:16" ht="15.75" customHeight="1" x14ac:dyDescent="0.2">
      <c r="N636" s="62"/>
      <c r="O636" s="62"/>
      <c r="P636" s="62"/>
    </row>
    <row r="637" spans="14:16" ht="15.75" customHeight="1" x14ac:dyDescent="0.2">
      <c r="N637" s="62"/>
      <c r="O637" s="62"/>
      <c r="P637" s="62"/>
    </row>
    <row r="638" spans="14:16" ht="15.75" customHeight="1" x14ac:dyDescent="0.2">
      <c r="N638" s="62"/>
      <c r="O638" s="62"/>
      <c r="P638" s="62"/>
    </row>
    <row r="639" spans="14:16" ht="15.75" customHeight="1" x14ac:dyDescent="0.2">
      <c r="N639" s="62"/>
      <c r="O639" s="62"/>
      <c r="P639" s="62"/>
    </row>
    <row r="640" spans="14:16" ht="15.75" customHeight="1" x14ac:dyDescent="0.2">
      <c r="N640" s="62"/>
      <c r="O640" s="62"/>
      <c r="P640" s="62"/>
    </row>
    <row r="641" spans="14:16" ht="15.75" customHeight="1" x14ac:dyDescent="0.2">
      <c r="N641" s="62"/>
      <c r="O641" s="62"/>
      <c r="P641" s="62"/>
    </row>
    <row r="642" spans="14:16" ht="15.75" customHeight="1" x14ac:dyDescent="0.2">
      <c r="N642" s="62"/>
      <c r="O642" s="62"/>
      <c r="P642" s="62"/>
    </row>
    <row r="643" spans="14:16" ht="15.75" customHeight="1" x14ac:dyDescent="0.2">
      <c r="N643" s="62"/>
      <c r="O643" s="62"/>
      <c r="P643" s="62"/>
    </row>
    <row r="644" spans="14:16" ht="15.75" customHeight="1" x14ac:dyDescent="0.2">
      <c r="N644" s="62"/>
      <c r="O644" s="62"/>
      <c r="P644" s="62"/>
    </row>
    <row r="645" spans="14:16" ht="15.75" customHeight="1" x14ac:dyDescent="0.2">
      <c r="N645" s="62"/>
      <c r="O645" s="62"/>
      <c r="P645" s="62"/>
    </row>
    <row r="646" spans="14:16" ht="15.75" customHeight="1" x14ac:dyDescent="0.2">
      <c r="N646" s="62"/>
      <c r="O646" s="62"/>
      <c r="P646" s="62"/>
    </row>
    <row r="647" spans="14:16" ht="15.75" customHeight="1" x14ac:dyDescent="0.2">
      <c r="N647" s="62"/>
      <c r="O647" s="62"/>
      <c r="P647" s="62"/>
    </row>
    <row r="648" spans="14:16" ht="15.75" customHeight="1" x14ac:dyDescent="0.2">
      <c r="N648" s="62"/>
      <c r="O648" s="62"/>
      <c r="P648" s="62"/>
    </row>
    <row r="649" spans="14:16" ht="15.75" customHeight="1" x14ac:dyDescent="0.2">
      <c r="N649" s="62"/>
      <c r="O649" s="62"/>
      <c r="P649" s="62"/>
    </row>
    <row r="650" spans="14:16" ht="15.75" customHeight="1" x14ac:dyDescent="0.2">
      <c r="N650" s="62"/>
      <c r="O650" s="62"/>
      <c r="P650" s="62"/>
    </row>
    <row r="651" spans="14:16" ht="15.75" customHeight="1" x14ac:dyDescent="0.2">
      <c r="N651" s="62"/>
      <c r="O651" s="62"/>
      <c r="P651" s="62"/>
    </row>
    <row r="652" spans="14:16" ht="15.75" customHeight="1" x14ac:dyDescent="0.2">
      <c r="N652" s="62"/>
      <c r="O652" s="62"/>
      <c r="P652" s="62"/>
    </row>
    <row r="653" spans="14:16" ht="15.75" customHeight="1" x14ac:dyDescent="0.2">
      <c r="N653" s="62"/>
      <c r="O653" s="62"/>
      <c r="P653" s="62"/>
    </row>
    <row r="654" spans="14:16" ht="15.75" customHeight="1" x14ac:dyDescent="0.2">
      <c r="N654" s="62"/>
      <c r="O654" s="62"/>
      <c r="P654" s="62"/>
    </row>
    <row r="655" spans="14:16" ht="15.75" customHeight="1" x14ac:dyDescent="0.2">
      <c r="N655" s="62"/>
      <c r="O655" s="62"/>
      <c r="P655" s="62"/>
    </row>
    <row r="656" spans="14:16" ht="15.75" customHeight="1" x14ac:dyDescent="0.2">
      <c r="N656" s="62"/>
      <c r="O656" s="62"/>
      <c r="P656" s="62"/>
    </row>
    <row r="657" spans="14:16" ht="15.75" customHeight="1" x14ac:dyDescent="0.2">
      <c r="N657" s="62"/>
      <c r="O657" s="62"/>
      <c r="P657" s="62"/>
    </row>
    <row r="658" spans="14:16" ht="15.75" customHeight="1" x14ac:dyDescent="0.2">
      <c r="N658" s="62"/>
      <c r="O658" s="62"/>
      <c r="P658" s="62"/>
    </row>
    <row r="659" spans="14:16" ht="15.75" customHeight="1" x14ac:dyDescent="0.2">
      <c r="N659" s="62"/>
      <c r="O659" s="62"/>
      <c r="P659" s="62"/>
    </row>
    <row r="660" spans="14:16" ht="15.75" customHeight="1" x14ac:dyDescent="0.2">
      <c r="N660" s="62"/>
      <c r="O660" s="62"/>
      <c r="P660" s="62"/>
    </row>
    <row r="661" spans="14:16" ht="15.75" customHeight="1" x14ac:dyDescent="0.2">
      <c r="N661" s="62"/>
      <c r="O661" s="62"/>
      <c r="P661" s="62"/>
    </row>
    <row r="662" spans="14:16" ht="15.75" customHeight="1" x14ac:dyDescent="0.2">
      <c r="N662" s="62"/>
      <c r="O662" s="62"/>
      <c r="P662" s="62"/>
    </row>
    <row r="663" spans="14:16" ht="15.75" customHeight="1" x14ac:dyDescent="0.2">
      <c r="N663" s="62"/>
      <c r="O663" s="62"/>
      <c r="P663" s="62"/>
    </row>
    <row r="664" spans="14:16" ht="15.75" customHeight="1" x14ac:dyDescent="0.2">
      <c r="N664" s="62"/>
      <c r="O664" s="62"/>
      <c r="P664" s="62"/>
    </row>
    <row r="665" spans="14:16" ht="15.75" customHeight="1" x14ac:dyDescent="0.2">
      <c r="N665" s="62"/>
      <c r="O665" s="62"/>
      <c r="P665" s="62"/>
    </row>
    <row r="666" spans="14:16" ht="15.75" customHeight="1" x14ac:dyDescent="0.2">
      <c r="N666" s="62"/>
      <c r="O666" s="62"/>
      <c r="P666" s="62"/>
    </row>
    <row r="667" spans="14:16" ht="15.75" customHeight="1" x14ac:dyDescent="0.2">
      <c r="N667" s="62"/>
      <c r="O667" s="62"/>
      <c r="P667" s="62"/>
    </row>
    <row r="668" spans="14:16" ht="15.75" customHeight="1" x14ac:dyDescent="0.2">
      <c r="N668" s="62"/>
      <c r="O668" s="62"/>
      <c r="P668" s="62"/>
    </row>
    <row r="669" spans="14:16" ht="15.75" customHeight="1" x14ac:dyDescent="0.2">
      <c r="N669" s="62"/>
      <c r="O669" s="62"/>
      <c r="P669" s="62"/>
    </row>
    <row r="670" spans="14:16" ht="15.75" customHeight="1" x14ac:dyDescent="0.2">
      <c r="N670" s="62"/>
      <c r="O670" s="62"/>
      <c r="P670" s="62"/>
    </row>
    <row r="671" spans="14:16" ht="15.75" customHeight="1" x14ac:dyDescent="0.2">
      <c r="N671" s="62"/>
      <c r="O671" s="62"/>
      <c r="P671" s="62"/>
    </row>
    <row r="672" spans="14:16" ht="15.75" customHeight="1" x14ac:dyDescent="0.2">
      <c r="N672" s="62"/>
      <c r="O672" s="62"/>
      <c r="P672" s="62"/>
    </row>
    <row r="673" spans="14:16" ht="15.75" customHeight="1" x14ac:dyDescent="0.2">
      <c r="N673" s="62"/>
      <c r="O673" s="62"/>
      <c r="P673" s="62"/>
    </row>
    <row r="674" spans="14:16" ht="15.75" customHeight="1" x14ac:dyDescent="0.2">
      <c r="N674" s="62"/>
      <c r="O674" s="62"/>
      <c r="P674" s="62"/>
    </row>
    <row r="675" spans="14:16" ht="15.75" customHeight="1" x14ac:dyDescent="0.2">
      <c r="N675" s="62"/>
      <c r="O675" s="62"/>
      <c r="P675" s="62"/>
    </row>
    <row r="676" spans="14:16" ht="15.75" customHeight="1" x14ac:dyDescent="0.2">
      <c r="N676" s="62"/>
      <c r="O676" s="62"/>
      <c r="P676" s="62"/>
    </row>
    <row r="677" spans="14:16" ht="15.75" customHeight="1" x14ac:dyDescent="0.2">
      <c r="N677" s="62"/>
      <c r="O677" s="62"/>
      <c r="P677" s="62"/>
    </row>
    <row r="678" spans="14:16" ht="15.75" customHeight="1" x14ac:dyDescent="0.2">
      <c r="N678" s="62"/>
      <c r="O678" s="62"/>
      <c r="P678" s="62"/>
    </row>
    <row r="679" spans="14:16" ht="15.75" customHeight="1" x14ac:dyDescent="0.2">
      <c r="N679" s="62"/>
      <c r="O679" s="62"/>
      <c r="P679" s="62"/>
    </row>
    <row r="680" spans="14:16" ht="15.75" customHeight="1" x14ac:dyDescent="0.2">
      <c r="N680" s="62"/>
      <c r="O680" s="62"/>
      <c r="P680" s="62"/>
    </row>
    <row r="681" spans="14:16" ht="15.75" customHeight="1" x14ac:dyDescent="0.2">
      <c r="N681" s="62"/>
      <c r="O681" s="62"/>
      <c r="P681" s="62"/>
    </row>
    <row r="682" spans="14:16" ht="15.75" customHeight="1" x14ac:dyDescent="0.2">
      <c r="N682" s="62"/>
      <c r="O682" s="62"/>
      <c r="P682" s="62"/>
    </row>
    <row r="683" spans="14:16" ht="15.75" customHeight="1" x14ac:dyDescent="0.2">
      <c r="N683" s="62"/>
      <c r="O683" s="62"/>
      <c r="P683" s="62"/>
    </row>
    <row r="684" spans="14:16" ht="15.75" customHeight="1" x14ac:dyDescent="0.2">
      <c r="N684" s="62"/>
      <c r="O684" s="62"/>
      <c r="P684" s="62"/>
    </row>
    <row r="685" spans="14:16" ht="15.75" customHeight="1" x14ac:dyDescent="0.2">
      <c r="N685" s="62"/>
      <c r="O685" s="62"/>
      <c r="P685" s="62"/>
    </row>
    <row r="686" spans="14:16" ht="15.75" customHeight="1" x14ac:dyDescent="0.2">
      <c r="N686" s="62"/>
      <c r="O686" s="62"/>
      <c r="P686" s="62"/>
    </row>
    <row r="687" spans="14:16" ht="15.75" customHeight="1" x14ac:dyDescent="0.2">
      <c r="N687" s="62"/>
      <c r="O687" s="62"/>
      <c r="P687" s="62"/>
    </row>
    <row r="688" spans="14:16" ht="15.75" customHeight="1" x14ac:dyDescent="0.2">
      <c r="N688" s="62"/>
      <c r="O688" s="62"/>
      <c r="P688" s="62"/>
    </row>
    <row r="689" spans="14:16" ht="15.75" customHeight="1" x14ac:dyDescent="0.2">
      <c r="N689" s="62"/>
      <c r="O689" s="62"/>
      <c r="P689" s="62"/>
    </row>
    <row r="690" spans="14:16" ht="15.75" customHeight="1" x14ac:dyDescent="0.2">
      <c r="N690" s="62"/>
      <c r="O690" s="62"/>
      <c r="P690" s="62"/>
    </row>
    <row r="691" spans="14:16" ht="15.75" customHeight="1" x14ac:dyDescent="0.2">
      <c r="N691" s="62"/>
      <c r="O691" s="62"/>
      <c r="P691" s="62"/>
    </row>
    <row r="692" spans="14:16" ht="15.75" customHeight="1" x14ac:dyDescent="0.2">
      <c r="N692" s="62"/>
      <c r="O692" s="62"/>
      <c r="P692" s="62"/>
    </row>
    <row r="693" spans="14:16" ht="15.75" customHeight="1" x14ac:dyDescent="0.2">
      <c r="N693" s="62"/>
      <c r="O693" s="62"/>
      <c r="P693" s="62"/>
    </row>
    <row r="694" spans="14:16" ht="15.75" customHeight="1" x14ac:dyDescent="0.2">
      <c r="N694" s="62"/>
      <c r="O694" s="62"/>
      <c r="P694" s="62"/>
    </row>
    <row r="695" spans="14:16" ht="15.75" customHeight="1" x14ac:dyDescent="0.2">
      <c r="N695" s="62"/>
      <c r="O695" s="62"/>
      <c r="P695" s="62"/>
    </row>
    <row r="696" spans="14:16" ht="15.75" customHeight="1" x14ac:dyDescent="0.2">
      <c r="N696" s="62"/>
      <c r="O696" s="62"/>
      <c r="P696" s="62"/>
    </row>
    <row r="697" spans="14:16" ht="15.75" customHeight="1" x14ac:dyDescent="0.2">
      <c r="N697" s="62"/>
      <c r="O697" s="62"/>
      <c r="P697" s="62"/>
    </row>
    <row r="698" spans="14:16" ht="15.75" customHeight="1" x14ac:dyDescent="0.2">
      <c r="N698" s="62"/>
      <c r="O698" s="62"/>
      <c r="P698" s="62"/>
    </row>
    <row r="699" spans="14:16" ht="15.75" customHeight="1" x14ac:dyDescent="0.2">
      <c r="N699" s="62"/>
      <c r="O699" s="62"/>
      <c r="P699" s="62"/>
    </row>
    <row r="700" spans="14:16" ht="15.75" customHeight="1" x14ac:dyDescent="0.2">
      <c r="N700" s="62"/>
      <c r="O700" s="62"/>
      <c r="P700" s="62"/>
    </row>
    <row r="701" spans="14:16" ht="15.75" customHeight="1" x14ac:dyDescent="0.2">
      <c r="N701" s="62"/>
      <c r="O701" s="62"/>
      <c r="P701" s="62"/>
    </row>
    <row r="702" spans="14:16" ht="15.75" customHeight="1" x14ac:dyDescent="0.2">
      <c r="N702" s="62"/>
      <c r="O702" s="62"/>
      <c r="P702" s="62"/>
    </row>
    <row r="703" spans="14:16" ht="15.75" customHeight="1" x14ac:dyDescent="0.2">
      <c r="N703" s="62"/>
      <c r="O703" s="62"/>
      <c r="P703" s="62"/>
    </row>
    <row r="704" spans="14:16" ht="15.75" customHeight="1" x14ac:dyDescent="0.2">
      <c r="N704" s="62"/>
      <c r="O704" s="62"/>
      <c r="P704" s="62"/>
    </row>
    <row r="705" spans="14:16" ht="15.75" customHeight="1" x14ac:dyDescent="0.2">
      <c r="N705" s="62"/>
      <c r="O705" s="62"/>
      <c r="P705" s="62"/>
    </row>
    <row r="706" spans="14:16" ht="15.75" customHeight="1" x14ac:dyDescent="0.2">
      <c r="N706" s="62"/>
      <c r="O706" s="62"/>
      <c r="P706" s="62"/>
    </row>
    <row r="707" spans="14:16" ht="15.75" customHeight="1" x14ac:dyDescent="0.2">
      <c r="N707" s="62"/>
      <c r="O707" s="62"/>
      <c r="P707" s="62"/>
    </row>
    <row r="708" spans="14:16" ht="15.75" customHeight="1" x14ac:dyDescent="0.2">
      <c r="N708" s="62"/>
      <c r="O708" s="62"/>
      <c r="P708" s="62"/>
    </row>
    <row r="709" spans="14:16" ht="15.75" customHeight="1" x14ac:dyDescent="0.2">
      <c r="N709" s="62"/>
      <c r="O709" s="62"/>
      <c r="P709" s="62"/>
    </row>
    <row r="710" spans="14:16" ht="15.75" customHeight="1" x14ac:dyDescent="0.2">
      <c r="N710" s="62"/>
      <c r="O710" s="62"/>
      <c r="P710" s="62"/>
    </row>
    <row r="711" spans="14:16" ht="15.75" customHeight="1" x14ac:dyDescent="0.2">
      <c r="N711" s="62"/>
      <c r="O711" s="62"/>
      <c r="P711" s="62"/>
    </row>
    <row r="712" spans="14:16" ht="15.75" customHeight="1" x14ac:dyDescent="0.2">
      <c r="N712" s="62"/>
      <c r="O712" s="62"/>
      <c r="P712" s="62"/>
    </row>
    <row r="713" spans="14:16" ht="15.75" customHeight="1" x14ac:dyDescent="0.2">
      <c r="N713" s="62"/>
      <c r="O713" s="62"/>
      <c r="P713" s="62"/>
    </row>
    <row r="714" spans="14:16" ht="15.75" customHeight="1" x14ac:dyDescent="0.2">
      <c r="N714" s="62"/>
      <c r="O714" s="62"/>
      <c r="P714" s="62"/>
    </row>
    <row r="715" spans="14:16" ht="15.75" customHeight="1" x14ac:dyDescent="0.2">
      <c r="N715" s="62"/>
      <c r="O715" s="62"/>
      <c r="P715" s="62"/>
    </row>
    <row r="716" spans="14:16" ht="15.75" customHeight="1" x14ac:dyDescent="0.2">
      <c r="N716" s="62"/>
      <c r="O716" s="62"/>
      <c r="P716" s="62"/>
    </row>
    <row r="717" spans="14:16" ht="15.75" customHeight="1" x14ac:dyDescent="0.2">
      <c r="N717" s="62"/>
      <c r="O717" s="62"/>
      <c r="P717" s="62"/>
    </row>
    <row r="718" spans="14:16" ht="15.75" customHeight="1" x14ac:dyDescent="0.2">
      <c r="N718" s="62"/>
      <c r="O718" s="62"/>
      <c r="P718" s="62"/>
    </row>
    <row r="719" spans="14:16" ht="15.75" customHeight="1" x14ac:dyDescent="0.2">
      <c r="N719" s="62"/>
      <c r="O719" s="62"/>
      <c r="P719" s="62"/>
    </row>
    <row r="720" spans="14:16" ht="15.75" customHeight="1" x14ac:dyDescent="0.2">
      <c r="N720" s="62"/>
      <c r="O720" s="62"/>
      <c r="P720" s="62"/>
    </row>
    <row r="721" spans="14:16" ht="15.75" customHeight="1" x14ac:dyDescent="0.2">
      <c r="N721" s="62"/>
      <c r="O721" s="62"/>
      <c r="P721" s="62"/>
    </row>
    <row r="722" spans="14:16" ht="15.75" customHeight="1" x14ac:dyDescent="0.2">
      <c r="N722" s="62"/>
      <c r="O722" s="62"/>
      <c r="P722" s="62"/>
    </row>
    <row r="723" spans="14:16" ht="15.75" customHeight="1" x14ac:dyDescent="0.2">
      <c r="N723" s="62"/>
      <c r="O723" s="62"/>
      <c r="P723" s="62"/>
    </row>
    <row r="724" spans="14:16" ht="15.75" customHeight="1" x14ac:dyDescent="0.2">
      <c r="N724" s="62"/>
      <c r="O724" s="62"/>
      <c r="P724" s="62"/>
    </row>
    <row r="725" spans="14:16" ht="15.75" customHeight="1" x14ac:dyDescent="0.2">
      <c r="N725" s="62"/>
      <c r="O725" s="62"/>
      <c r="P725" s="62"/>
    </row>
    <row r="726" spans="14:16" ht="15.75" customHeight="1" x14ac:dyDescent="0.2">
      <c r="N726" s="62"/>
      <c r="O726" s="62"/>
      <c r="P726" s="62"/>
    </row>
    <row r="727" spans="14:16" ht="15.75" customHeight="1" x14ac:dyDescent="0.2">
      <c r="N727" s="62"/>
      <c r="O727" s="62"/>
      <c r="P727" s="62"/>
    </row>
    <row r="728" spans="14:16" ht="15.75" customHeight="1" x14ac:dyDescent="0.2">
      <c r="N728" s="62"/>
      <c r="O728" s="62"/>
      <c r="P728" s="62"/>
    </row>
    <row r="729" spans="14:16" ht="15.75" customHeight="1" x14ac:dyDescent="0.2">
      <c r="N729" s="62"/>
      <c r="O729" s="62"/>
      <c r="P729" s="62"/>
    </row>
    <row r="730" spans="14:16" ht="15.75" customHeight="1" x14ac:dyDescent="0.2">
      <c r="N730" s="62"/>
      <c r="O730" s="62"/>
      <c r="P730" s="62"/>
    </row>
    <row r="731" spans="14:16" ht="15.75" customHeight="1" x14ac:dyDescent="0.2">
      <c r="N731" s="62"/>
      <c r="O731" s="62"/>
      <c r="P731" s="62"/>
    </row>
    <row r="732" spans="14:16" ht="15.75" customHeight="1" x14ac:dyDescent="0.2">
      <c r="N732" s="62"/>
      <c r="O732" s="62"/>
      <c r="P732" s="62"/>
    </row>
    <row r="733" spans="14:16" ht="15.75" customHeight="1" x14ac:dyDescent="0.2">
      <c r="N733" s="62"/>
      <c r="O733" s="62"/>
      <c r="P733" s="62"/>
    </row>
    <row r="734" spans="14:16" ht="15.75" customHeight="1" x14ac:dyDescent="0.2">
      <c r="N734" s="62"/>
      <c r="O734" s="62"/>
      <c r="P734" s="62"/>
    </row>
    <row r="735" spans="14:16" ht="15.75" customHeight="1" x14ac:dyDescent="0.2">
      <c r="N735" s="62"/>
      <c r="O735" s="62"/>
      <c r="P735" s="62"/>
    </row>
    <row r="736" spans="14:16" ht="15.75" customHeight="1" x14ac:dyDescent="0.2">
      <c r="N736" s="62"/>
      <c r="O736" s="62"/>
      <c r="P736" s="62"/>
    </row>
    <row r="737" spans="14:16" ht="15.75" customHeight="1" x14ac:dyDescent="0.2">
      <c r="N737" s="62"/>
      <c r="O737" s="62"/>
      <c r="P737" s="62"/>
    </row>
    <row r="738" spans="14:16" ht="15.75" customHeight="1" x14ac:dyDescent="0.2">
      <c r="N738" s="62"/>
      <c r="O738" s="62"/>
      <c r="P738" s="62"/>
    </row>
    <row r="739" spans="14:16" ht="15.75" customHeight="1" x14ac:dyDescent="0.2">
      <c r="N739" s="62"/>
      <c r="O739" s="62"/>
      <c r="P739" s="62"/>
    </row>
    <row r="740" spans="14:16" ht="15.75" customHeight="1" x14ac:dyDescent="0.2">
      <c r="N740" s="62"/>
      <c r="O740" s="62"/>
      <c r="P740" s="62"/>
    </row>
    <row r="741" spans="14:16" ht="15.75" customHeight="1" x14ac:dyDescent="0.2">
      <c r="N741" s="62"/>
      <c r="O741" s="62"/>
      <c r="P741" s="62"/>
    </row>
    <row r="742" spans="14:16" ht="15.75" customHeight="1" x14ac:dyDescent="0.2">
      <c r="N742" s="62"/>
      <c r="O742" s="62"/>
      <c r="P742" s="62"/>
    </row>
    <row r="743" spans="14:16" ht="15.75" customHeight="1" x14ac:dyDescent="0.2">
      <c r="N743" s="62"/>
      <c r="O743" s="62"/>
      <c r="P743" s="62"/>
    </row>
    <row r="744" spans="14:16" ht="15.75" customHeight="1" x14ac:dyDescent="0.2">
      <c r="N744" s="62"/>
      <c r="O744" s="62"/>
      <c r="P744" s="62"/>
    </row>
    <row r="745" spans="14:16" ht="15.75" customHeight="1" x14ac:dyDescent="0.2">
      <c r="N745" s="62"/>
      <c r="O745" s="62"/>
      <c r="P745" s="62"/>
    </row>
    <row r="746" spans="14:16" ht="15.75" customHeight="1" x14ac:dyDescent="0.2">
      <c r="N746" s="62"/>
      <c r="O746" s="62"/>
      <c r="P746" s="62"/>
    </row>
    <row r="747" spans="14:16" ht="15.75" customHeight="1" x14ac:dyDescent="0.2">
      <c r="N747" s="62"/>
      <c r="O747" s="62"/>
      <c r="P747" s="62"/>
    </row>
    <row r="748" spans="14:16" ht="15.75" customHeight="1" x14ac:dyDescent="0.2">
      <c r="N748" s="62"/>
      <c r="O748" s="62"/>
      <c r="P748" s="62"/>
    </row>
    <row r="749" spans="14:16" ht="15.75" customHeight="1" x14ac:dyDescent="0.2">
      <c r="N749" s="62"/>
      <c r="O749" s="62"/>
      <c r="P749" s="62"/>
    </row>
    <row r="750" spans="14:16" ht="15.75" customHeight="1" x14ac:dyDescent="0.2">
      <c r="N750" s="62"/>
      <c r="O750" s="62"/>
      <c r="P750" s="62"/>
    </row>
    <row r="751" spans="14:16" ht="15.75" customHeight="1" x14ac:dyDescent="0.2">
      <c r="N751" s="62"/>
      <c r="O751" s="62"/>
      <c r="P751" s="62"/>
    </row>
    <row r="752" spans="14:16" ht="15.75" customHeight="1" x14ac:dyDescent="0.2">
      <c r="N752" s="62"/>
      <c r="O752" s="62"/>
      <c r="P752" s="62"/>
    </row>
    <row r="753" spans="14:16" ht="15.75" customHeight="1" x14ac:dyDescent="0.2">
      <c r="N753" s="62"/>
      <c r="O753" s="62"/>
      <c r="P753" s="62"/>
    </row>
    <row r="754" spans="14:16" ht="15.75" customHeight="1" x14ac:dyDescent="0.2">
      <c r="N754" s="62"/>
      <c r="O754" s="62"/>
      <c r="P754" s="62"/>
    </row>
    <row r="755" spans="14:16" ht="15.75" customHeight="1" x14ac:dyDescent="0.2">
      <c r="N755" s="62"/>
      <c r="O755" s="62"/>
      <c r="P755" s="62"/>
    </row>
    <row r="756" spans="14:16" ht="15.75" customHeight="1" x14ac:dyDescent="0.2">
      <c r="N756" s="62"/>
      <c r="O756" s="62"/>
      <c r="P756" s="62"/>
    </row>
    <row r="757" spans="14:16" ht="15.75" customHeight="1" x14ac:dyDescent="0.2">
      <c r="N757" s="62"/>
      <c r="O757" s="62"/>
      <c r="P757" s="62"/>
    </row>
    <row r="758" spans="14:16" ht="15.75" customHeight="1" x14ac:dyDescent="0.2">
      <c r="N758" s="62"/>
      <c r="O758" s="62"/>
      <c r="P758" s="62"/>
    </row>
    <row r="759" spans="14:16" ht="15.75" customHeight="1" x14ac:dyDescent="0.2">
      <c r="N759" s="62"/>
      <c r="O759" s="62"/>
      <c r="P759" s="62"/>
    </row>
    <row r="760" spans="14:16" ht="15.75" customHeight="1" x14ac:dyDescent="0.2">
      <c r="N760" s="62"/>
      <c r="O760" s="62"/>
      <c r="P760" s="62"/>
    </row>
    <row r="761" spans="14:16" ht="15.75" customHeight="1" x14ac:dyDescent="0.2">
      <c r="N761" s="62"/>
      <c r="O761" s="62"/>
      <c r="P761" s="62"/>
    </row>
    <row r="762" spans="14:16" ht="15.75" customHeight="1" x14ac:dyDescent="0.2">
      <c r="N762" s="62"/>
      <c r="O762" s="62"/>
      <c r="P762" s="62"/>
    </row>
    <row r="763" spans="14:16" ht="15.75" customHeight="1" x14ac:dyDescent="0.2">
      <c r="N763" s="62"/>
      <c r="O763" s="62"/>
      <c r="P763" s="62"/>
    </row>
    <row r="764" spans="14:16" ht="15.75" customHeight="1" x14ac:dyDescent="0.2">
      <c r="N764" s="62"/>
      <c r="O764" s="62"/>
      <c r="P764" s="62"/>
    </row>
    <row r="765" spans="14:16" ht="15.75" customHeight="1" x14ac:dyDescent="0.2">
      <c r="N765" s="62"/>
      <c r="O765" s="62"/>
      <c r="P765" s="62"/>
    </row>
    <row r="766" spans="14:16" ht="15.75" customHeight="1" x14ac:dyDescent="0.2">
      <c r="N766" s="62"/>
      <c r="O766" s="62"/>
      <c r="P766" s="62"/>
    </row>
    <row r="767" spans="14:16" ht="15.75" customHeight="1" x14ac:dyDescent="0.2">
      <c r="N767" s="62"/>
      <c r="O767" s="62"/>
      <c r="P767" s="62"/>
    </row>
    <row r="768" spans="14:16" ht="15.75" customHeight="1" x14ac:dyDescent="0.2">
      <c r="N768" s="62"/>
      <c r="O768" s="62"/>
      <c r="P768" s="62"/>
    </row>
    <row r="769" spans="14:16" ht="15.75" customHeight="1" x14ac:dyDescent="0.2">
      <c r="N769" s="62"/>
      <c r="O769" s="62"/>
      <c r="P769" s="62"/>
    </row>
    <row r="770" spans="14:16" ht="15.75" customHeight="1" x14ac:dyDescent="0.2">
      <c r="N770" s="62"/>
      <c r="O770" s="62"/>
      <c r="P770" s="62"/>
    </row>
    <row r="771" spans="14:16" ht="15.75" customHeight="1" x14ac:dyDescent="0.2">
      <c r="N771" s="62"/>
      <c r="O771" s="62"/>
      <c r="P771" s="62"/>
    </row>
    <row r="772" spans="14:16" ht="15.75" customHeight="1" x14ac:dyDescent="0.2">
      <c r="N772" s="62"/>
      <c r="O772" s="62"/>
      <c r="P772" s="62"/>
    </row>
    <row r="773" spans="14:16" ht="15.75" customHeight="1" x14ac:dyDescent="0.2">
      <c r="N773" s="62"/>
      <c r="O773" s="62"/>
      <c r="P773" s="62"/>
    </row>
    <row r="774" spans="14:16" ht="15.75" customHeight="1" x14ac:dyDescent="0.2">
      <c r="N774" s="62"/>
      <c r="O774" s="62"/>
      <c r="P774" s="62"/>
    </row>
    <row r="775" spans="14:16" ht="15.75" customHeight="1" x14ac:dyDescent="0.2">
      <c r="N775" s="62"/>
      <c r="O775" s="62"/>
      <c r="P775" s="62"/>
    </row>
    <row r="776" spans="14:16" ht="15.75" customHeight="1" x14ac:dyDescent="0.2">
      <c r="N776" s="62"/>
      <c r="O776" s="62"/>
      <c r="P776" s="62"/>
    </row>
    <row r="777" spans="14:16" ht="15.75" customHeight="1" x14ac:dyDescent="0.2">
      <c r="N777" s="62"/>
      <c r="O777" s="62"/>
      <c r="P777" s="62"/>
    </row>
    <row r="778" spans="14:16" ht="15.75" customHeight="1" x14ac:dyDescent="0.2">
      <c r="N778" s="62"/>
      <c r="O778" s="62"/>
      <c r="P778" s="62"/>
    </row>
    <row r="779" spans="14:16" ht="15.75" customHeight="1" x14ac:dyDescent="0.2">
      <c r="N779" s="62"/>
      <c r="O779" s="62"/>
      <c r="P779" s="62"/>
    </row>
    <row r="780" spans="14:16" ht="15.75" customHeight="1" x14ac:dyDescent="0.2">
      <c r="N780" s="62"/>
      <c r="O780" s="62"/>
      <c r="P780" s="62"/>
    </row>
    <row r="781" spans="14:16" ht="15.75" customHeight="1" x14ac:dyDescent="0.2">
      <c r="N781" s="62"/>
      <c r="O781" s="62"/>
      <c r="P781" s="62"/>
    </row>
    <row r="782" spans="14:16" ht="15.75" customHeight="1" x14ac:dyDescent="0.2">
      <c r="N782" s="62"/>
      <c r="O782" s="62"/>
      <c r="P782" s="62"/>
    </row>
    <row r="783" spans="14:16" ht="15.75" customHeight="1" x14ac:dyDescent="0.2">
      <c r="N783" s="62"/>
      <c r="O783" s="62"/>
      <c r="P783" s="62"/>
    </row>
    <row r="784" spans="14:16" ht="15.75" customHeight="1" x14ac:dyDescent="0.2">
      <c r="N784" s="62"/>
      <c r="O784" s="62"/>
      <c r="P784" s="62"/>
    </row>
    <row r="785" spans="14:16" ht="15.75" customHeight="1" x14ac:dyDescent="0.2">
      <c r="N785" s="62"/>
      <c r="O785" s="62"/>
      <c r="P785" s="62"/>
    </row>
    <row r="786" spans="14:16" ht="15.75" customHeight="1" x14ac:dyDescent="0.2">
      <c r="N786" s="62"/>
      <c r="O786" s="62"/>
      <c r="P786" s="62"/>
    </row>
    <row r="787" spans="14:16" ht="15.75" customHeight="1" x14ac:dyDescent="0.2">
      <c r="N787" s="62"/>
      <c r="O787" s="62"/>
      <c r="P787" s="62"/>
    </row>
    <row r="788" spans="14:16" ht="15.75" customHeight="1" x14ac:dyDescent="0.2">
      <c r="N788" s="62"/>
      <c r="O788" s="62"/>
      <c r="P788" s="62"/>
    </row>
    <row r="789" spans="14:16" ht="15.75" customHeight="1" x14ac:dyDescent="0.2">
      <c r="N789" s="62"/>
      <c r="O789" s="62"/>
      <c r="P789" s="62"/>
    </row>
    <row r="790" spans="14:16" ht="15.75" customHeight="1" x14ac:dyDescent="0.2">
      <c r="N790" s="62"/>
      <c r="O790" s="62"/>
      <c r="P790" s="62"/>
    </row>
    <row r="791" spans="14:16" ht="15.75" customHeight="1" x14ac:dyDescent="0.2">
      <c r="N791" s="62"/>
      <c r="O791" s="62"/>
      <c r="P791" s="62"/>
    </row>
    <row r="792" spans="14:16" ht="15.75" customHeight="1" x14ac:dyDescent="0.2">
      <c r="N792" s="62"/>
      <c r="O792" s="62"/>
      <c r="P792" s="62"/>
    </row>
    <row r="793" spans="14:16" ht="15.75" customHeight="1" x14ac:dyDescent="0.2">
      <c r="N793" s="62"/>
      <c r="O793" s="62"/>
      <c r="P793" s="62"/>
    </row>
    <row r="794" spans="14:16" ht="15.75" customHeight="1" x14ac:dyDescent="0.2">
      <c r="N794" s="62"/>
      <c r="O794" s="62"/>
      <c r="P794" s="62"/>
    </row>
    <row r="795" spans="14:16" ht="15.75" customHeight="1" x14ac:dyDescent="0.2">
      <c r="N795" s="62"/>
      <c r="O795" s="62"/>
      <c r="P795" s="62"/>
    </row>
    <row r="796" spans="14:16" ht="15.75" customHeight="1" x14ac:dyDescent="0.2">
      <c r="N796" s="62"/>
      <c r="O796" s="62"/>
      <c r="P796" s="62"/>
    </row>
    <row r="797" spans="14:16" ht="15.75" customHeight="1" x14ac:dyDescent="0.2">
      <c r="N797" s="62"/>
      <c r="O797" s="62"/>
      <c r="P797" s="62"/>
    </row>
    <row r="798" spans="14:16" ht="15.75" customHeight="1" x14ac:dyDescent="0.2">
      <c r="N798" s="62"/>
      <c r="O798" s="62"/>
      <c r="P798" s="62"/>
    </row>
    <row r="799" spans="14:16" ht="15.75" customHeight="1" x14ac:dyDescent="0.2">
      <c r="N799" s="62"/>
      <c r="O799" s="62"/>
      <c r="P799" s="62"/>
    </row>
    <row r="800" spans="14:16" ht="15.75" customHeight="1" x14ac:dyDescent="0.2">
      <c r="N800" s="62"/>
      <c r="O800" s="62"/>
      <c r="P800" s="62"/>
    </row>
    <row r="801" spans="14:16" ht="15.75" customHeight="1" x14ac:dyDescent="0.2">
      <c r="N801" s="62"/>
      <c r="O801" s="62"/>
      <c r="P801" s="62"/>
    </row>
    <row r="802" spans="14:16" ht="15.75" customHeight="1" x14ac:dyDescent="0.2">
      <c r="N802" s="62"/>
      <c r="O802" s="62"/>
      <c r="P802" s="62"/>
    </row>
    <row r="803" spans="14:16" ht="15.75" customHeight="1" x14ac:dyDescent="0.2">
      <c r="N803" s="62"/>
      <c r="O803" s="62"/>
      <c r="P803" s="62"/>
    </row>
    <row r="804" spans="14:16" ht="15.75" customHeight="1" x14ac:dyDescent="0.2">
      <c r="N804" s="62"/>
      <c r="O804" s="62"/>
      <c r="P804" s="62"/>
    </row>
    <row r="805" spans="14:16" ht="15.75" customHeight="1" x14ac:dyDescent="0.2">
      <c r="N805" s="62"/>
      <c r="O805" s="62"/>
      <c r="P805" s="62"/>
    </row>
    <row r="806" spans="14:16" ht="15.75" customHeight="1" x14ac:dyDescent="0.2">
      <c r="N806" s="62"/>
      <c r="O806" s="62"/>
      <c r="P806" s="62"/>
    </row>
    <row r="807" spans="14:16" ht="15.75" customHeight="1" x14ac:dyDescent="0.2">
      <c r="N807" s="62"/>
      <c r="O807" s="62"/>
      <c r="P807" s="62"/>
    </row>
    <row r="808" spans="14:16" ht="15.75" customHeight="1" x14ac:dyDescent="0.2">
      <c r="N808" s="62"/>
      <c r="O808" s="62"/>
      <c r="P808" s="62"/>
    </row>
    <row r="809" spans="14:16" ht="15.75" customHeight="1" x14ac:dyDescent="0.2">
      <c r="N809" s="62"/>
      <c r="O809" s="62"/>
      <c r="P809" s="62"/>
    </row>
    <row r="810" spans="14:16" ht="15.75" customHeight="1" x14ac:dyDescent="0.2">
      <c r="N810" s="62"/>
      <c r="O810" s="62"/>
      <c r="P810" s="62"/>
    </row>
    <row r="811" spans="14:16" ht="15.75" customHeight="1" x14ac:dyDescent="0.2">
      <c r="N811" s="62"/>
      <c r="O811" s="62"/>
      <c r="P811" s="62"/>
    </row>
    <row r="812" spans="14:16" ht="15.75" customHeight="1" x14ac:dyDescent="0.2">
      <c r="N812" s="62"/>
      <c r="O812" s="62"/>
      <c r="P812" s="62"/>
    </row>
    <row r="813" spans="14:16" ht="15.75" customHeight="1" x14ac:dyDescent="0.2">
      <c r="N813" s="62"/>
      <c r="O813" s="62"/>
      <c r="P813" s="62"/>
    </row>
    <row r="814" spans="14:16" ht="15.75" customHeight="1" x14ac:dyDescent="0.2">
      <c r="N814" s="62"/>
      <c r="O814" s="62"/>
      <c r="P814" s="62"/>
    </row>
    <row r="815" spans="14:16" ht="15.75" customHeight="1" x14ac:dyDescent="0.2">
      <c r="N815" s="62"/>
      <c r="O815" s="62"/>
      <c r="P815" s="62"/>
    </row>
    <row r="816" spans="14:16" ht="15.75" customHeight="1" x14ac:dyDescent="0.2">
      <c r="N816" s="62"/>
      <c r="O816" s="62"/>
      <c r="P816" s="62"/>
    </row>
    <row r="817" spans="14:16" ht="15.75" customHeight="1" x14ac:dyDescent="0.2">
      <c r="N817" s="62"/>
      <c r="O817" s="62"/>
      <c r="P817" s="62"/>
    </row>
    <row r="818" spans="14:16" ht="15.75" customHeight="1" x14ac:dyDescent="0.2">
      <c r="N818" s="62"/>
      <c r="O818" s="62"/>
      <c r="P818" s="62"/>
    </row>
    <row r="819" spans="14:16" ht="15.75" customHeight="1" x14ac:dyDescent="0.2">
      <c r="N819" s="62"/>
      <c r="O819" s="62"/>
      <c r="P819" s="62"/>
    </row>
    <row r="820" spans="14:16" ht="15.75" customHeight="1" x14ac:dyDescent="0.2">
      <c r="N820" s="62"/>
      <c r="O820" s="62"/>
      <c r="P820" s="62"/>
    </row>
    <row r="821" spans="14:16" ht="15.75" customHeight="1" x14ac:dyDescent="0.2">
      <c r="N821" s="62"/>
      <c r="O821" s="62"/>
      <c r="P821" s="62"/>
    </row>
    <row r="822" spans="14:16" ht="15.75" customHeight="1" x14ac:dyDescent="0.2">
      <c r="N822" s="62"/>
      <c r="O822" s="62"/>
      <c r="P822" s="62"/>
    </row>
    <row r="823" spans="14:16" ht="15.75" customHeight="1" x14ac:dyDescent="0.2">
      <c r="N823" s="62"/>
      <c r="O823" s="62"/>
      <c r="P823" s="62"/>
    </row>
    <row r="824" spans="14:16" ht="15.75" customHeight="1" x14ac:dyDescent="0.2">
      <c r="N824" s="62"/>
      <c r="O824" s="62"/>
      <c r="P824" s="62"/>
    </row>
    <row r="825" spans="14:16" ht="15.75" customHeight="1" x14ac:dyDescent="0.2">
      <c r="N825" s="62"/>
      <c r="O825" s="62"/>
      <c r="P825" s="62"/>
    </row>
    <row r="826" spans="14:16" ht="15.75" customHeight="1" x14ac:dyDescent="0.2">
      <c r="N826" s="62"/>
      <c r="O826" s="62"/>
      <c r="P826" s="62"/>
    </row>
    <row r="827" spans="14:16" ht="15.75" customHeight="1" x14ac:dyDescent="0.2">
      <c r="N827" s="62"/>
      <c r="O827" s="62"/>
      <c r="P827" s="62"/>
    </row>
    <row r="828" spans="14:16" ht="15.75" customHeight="1" x14ac:dyDescent="0.2">
      <c r="N828" s="62"/>
      <c r="O828" s="62"/>
      <c r="P828" s="62"/>
    </row>
    <row r="829" spans="14:16" ht="15.75" customHeight="1" x14ac:dyDescent="0.2">
      <c r="N829" s="62"/>
      <c r="O829" s="62"/>
      <c r="P829" s="62"/>
    </row>
    <row r="830" spans="14:16" ht="15.75" customHeight="1" x14ac:dyDescent="0.2">
      <c r="N830" s="62"/>
      <c r="O830" s="62"/>
      <c r="P830" s="62"/>
    </row>
    <row r="831" spans="14:16" ht="15.75" customHeight="1" x14ac:dyDescent="0.2">
      <c r="N831" s="62"/>
      <c r="O831" s="62"/>
      <c r="P831" s="62"/>
    </row>
    <row r="832" spans="14:16" ht="15.75" customHeight="1" x14ac:dyDescent="0.2">
      <c r="N832" s="62"/>
      <c r="O832" s="62"/>
      <c r="P832" s="62"/>
    </row>
    <row r="833" spans="14:16" ht="15.75" customHeight="1" x14ac:dyDescent="0.2">
      <c r="N833" s="62"/>
      <c r="O833" s="62"/>
      <c r="P833" s="62"/>
    </row>
    <row r="834" spans="14:16" ht="15.75" customHeight="1" x14ac:dyDescent="0.2">
      <c r="N834" s="62"/>
      <c r="O834" s="62"/>
      <c r="P834" s="62"/>
    </row>
    <row r="835" spans="14:16" ht="15.75" customHeight="1" x14ac:dyDescent="0.2">
      <c r="N835" s="62"/>
      <c r="O835" s="62"/>
      <c r="P835" s="62"/>
    </row>
    <row r="836" spans="14:16" ht="15.75" customHeight="1" x14ac:dyDescent="0.2">
      <c r="N836" s="62"/>
      <c r="O836" s="62"/>
      <c r="P836" s="62"/>
    </row>
    <row r="837" spans="14:16" ht="15.75" customHeight="1" x14ac:dyDescent="0.2">
      <c r="N837" s="62"/>
      <c r="O837" s="62"/>
      <c r="P837" s="62"/>
    </row>
    <row r="838" spans="14:16" ht="15.75" customHeight="1" x14ac:dyDescent="0.2">
      <c r="N838" s="62"/>
      <c r="O838" s="62"/>
      <c r="P838" s="62"/>
    </row>
    <row r="839" spans="14:16" ht="15.75" customHeight="1" x14ac:dyDescent="0.2">
      <c r="N839" s="62"/>
      <c r="O839" s="62"/>
      <c r="P839" s="62"/>
    </row>
    <row r="840" spans="14:16" ht="15.75" customHeight="1" x14ac:dyDescent="0.2">
      <c r="N840" s="62"/>
      <c r="O840" s="62"/>
      <c r="P840" s="62"/>
    </row>
    <row r="841" spans="14:16" ht="15.75" customHeight="1" x14ac:dyDescent="0.2">
      <c r="N841" s="62"/>
      <c r="O841" s="62"/>
      <c r="P841" s="62"/>
    </row>
    <row r="842" spans="14:16" ht="15.75" customHeight="1" x14ac:dyDescent="0.2">
      <c r="N842" s="62"/>
      <c r="O842" s="62"/>
      <c r="P842" s="62"/>
    </row>
    <row r="843" spans="14:16" ht="15.75" customHeight="1" x14ac:dyDescent="0.2">
      <c r="N843" s="62"/>
      <c r="O843" s="62"/>
      <c r="P843" s="62"/>
    </row>
    <row r="844" spans="14:16" ht="15.75" customHeight="1" x14ac:dyDescent="0.2">
      <c r="N844" s="62"/>
      <c r="O844" s="62"/>
      <c r="P844" s="62"/>
    </row>
    <row r="845" spans="14:16" ht="15.75" customHeight="1" x14ac:dyDescent="0.2">
      <c r="N845" s="62"/>
      <c r="O845" s="62"/>
      <c r="P845" s="62"/>
    </row>
    <row r="846" spans="14:16" ht="15.75" customHeight="1" x14ac:dyDescent="0.2">
      <c r="N846" s="62"/>
      <c r="O846" s="62"/>
      <c r="P846" s="62"/>
    </row>
    <row r="847" spans="14:16" ht="15.75" customHeight="1" x14ac:dyDescent="0.2">
      <c r="N847" s="62"/>
      <c r="O847" s="62"/>
      <c r="P847" s="62"/>
    </row>
    <row r="848" spans="14:16" ht="15.75" customHeight="1" x14ac:dyDescent="0.2">
      <c r="N848" s="62"/>
      <c r="O848" s="62"/>
      <c r="P848" s="62"/>
    </row>
    <row r="849" spans="14:16" ht="15.75" customHeight="1" x14ac:dyDescent="0.2">
      <c r="N849" s="62"/>
      <c r="O849" s="62"/>
      <c r="P849" s="62"/>
    </row>
    <row r="850" spans="14:16" ht="15.75" customHeight="1" x14ac:dyDescent="0.2">
      <c r="N850" s="62"/>
      <c r="O850" s="62"/>
      <c r="P850" s="62"/>
    </row>
    <row r="851" spans="14:16" ht="15.75" customHeight="1" x14ac:dyDescent="0.2">
      <c r="N851" s="62"/>
      <c r="O851" s="62"/>
      <c r="P851" s="62"/>
    </row>
    <row r="852" spans="14:16" ht="15.75" customHeight="1" x14ac:dyDescent="0.2">
      <c r="N852" s="62"/>
      <c r="O852" s="62"/>
      <c r="P852" s="62"/>
    </row>
    <row r="853" spans="14:16" ht="15.75" customHeight="1" x14ac:dyDescent="0.2">
      <c r="N853" s="62"/>
      <c r="O853" s="62"/>
      <c r="P853" s="62"/>
    </row>
    <row r="854" spans="14:16" ht="15.75" customHeight="1" x14ac:dyDescent="0.2">
      <c r="N854" s="62"/>
      <c r="O854" s="62"/>
      <c r="P854" s="62"/>
    </row>
    <row r="855" spans="14:16" ht="15.75" customHeight="1" x14ac:dyDescent="0.2">
      <c r="N855" s="62"/>
      <c r="O855" s="62"/>
      <c r="P855" s="62"/>
    </row>
    <row r="856" spans="14:16" ht="15.75" customHeight="1" x14ac:dyDescent="0.2">
      <c r="N856" s="62"/>
      <c r="O856" s="62"/>
      <c r="P856" s="62"/>
    </row>
    <row r="857" spans="14:16" ht="15.75" customHeight="1" x14ac:dyDescent="0.2">
      <c r="N857" s="62"/>
      <c r="O857" s="62"/>
      <c r="P857" s="62"/>
    </row>
    <row r="858" spans="14:16" ht="15.75" customHeight="1" x14ac:dyDescent="0.2">
      <c r="N858" s="62"/>
      <c r="O858" s="62"/>
      <c r="P858" s="62"/>
    </row>
    <row r="859" spans="14:16" ht="15.75" customHeight="1" x14ac:dyDescent="0.2">
      <c r="N859" s="62"/>
      <c r="O859" s="62"/>
      <c r="P859" s="62"/>
    </row>
    <row r="860" spans="14:16" ht="15.75" customHeight="1" x14ac:dyDescent="0.2">
      <c r="N860" s="62"/>
      <c r="O860" s="62"/>
      <c r="P860" s="62"/>
    </row>
    <row r="861" spans="14:16" ht="15.75" customHeight="1" x14ac:dyDescent="0.2">
      <c r="N861" s="62"/>
      <c r="O861" s="62"/>
      <c r="P861" s="62"/>
    </row>
    <row r="862" spans="14:16" ht="15.75" customHeight="1" x14ac:dyDescent="0.2">
      <c r="N862" s="62"/>
      <c r="O862" s="62"/>
      <c r="P862" s="62"/>
    </row>
    <row r="863" spans="14:16" ht="15.75" customHeight="1" x14ac:dyDescent="0.2">
      <c r="N863" s="62"/>
      <c r="O863" s="62"/>
      <c r="P863" s="62"/>
    </row>
    <row r="864" spans="14:16" ht="15.75" customHeight="1" x14ac:dyDescent="0.2">
      <c r="N864" s="62"/>
      <c r="O864" s="62"/>
      <c r="P864" s="62"/>
    </row>
    <row r="865" spans="14:16" ht="15.75" customHeight="1" x14ac:dyDescent="0.2">
      <c r="N865" s="62"/>
      <c r="O865" s="62"/>
      <c r="P865" s="62"/>
    </row>
    <row r="866" spans="14:16" ht="15.75" customHeight="1" x14ac:dyDescent="0.2">
      <c r="N866" s="62"/>
      <c r="O866" s="62"/>
      <c r="P866" s="62"/>
    </row>
    <row r="867" spans="14:16" ht="15.75" customHeight="1" x14ac:dyDescent="0.2">
      <c r="N867" s="62"/>
      <c r="O867" s="62"/>
      <c r="P867" s="62"/>
    </row>
    <row r="868" spans="14:16" ht="15.75" customHeight="1" x14ac:dyDescent="0.2">
      <c r="N868" s="62"/>
      <c r="O868" s="62"/>
      <c r="P868" s="62"/>
    </row>
    <row r="869" spans="14:16" ht="15.75" customHeight="1" x14ac:dyDescent="0.2">
      <c r="N869" s="62"/>
      <c r="O869" s="62"/>
      <c r="P869" s="62"/>
    </row>
    <row r="870" spans="14:16" ht="15.75" customHeight="1" x14ac:dyDescent="0.2">
      <c r="N870" s="62"/>
      <c r="O870" s="62"/>
      <c r="P870" s="62"/>
    </row>
    <row r="871" spans="14:16" ht="15.75" customHeight="1" x14ac:dyDescent="0.2">
      <c r="N871" s="62"/>
      <c r="O871" s="62"/>
      <c r="P871" s="62"/>
    </row>
    <row r="872" spans="14:16" ht="15.75" customHeight="1" x14ac:dyDescent="0.2">
      <c r="N872" s="62"/>
      <c r="O872" s="62"/>
      <c r="P872" s="62"/>
    </row>
    <row r="873" spans="14:16" ht="15.75" customHeight="1" x14ac:dyDescent="0.2">
      <c r="N873" s="62"/>
      <c r="O873" s="62"/>
      <c r="P873" s="62"/>
    </row>
    <row r="874" spans="14:16" ht="15.75" customHeight="1" x14ac:dyDescent="0.2">
      <c r="N874" s="62"/>
      <c r="O874" s="62"/>
      <c r="P874" s="62"/>
    </row>
    <row r="875" spans="14:16" ht="15.75" customHeight="1" x14ac:dyDescent="0.2">
      <c r="N875" s="62"/>
      <c r="O875" s="62"/>
      <c r="P875" s="62"/>
    </row>
    <row r="876" spans="14:16" ht="15.75" customHeight="1" x14ac:dyDescent="0.2">
      <c r="N876" s="62"/>
      <c r="O876" s="62"/>
      <c r="P876" s="62"/>
    </row>
    <row r="877" spans="14:16" ht="15.75" customHeight="1" x14ac:dyDescent="0.2">
      <c r="N877" s="62"/>
      <c r="O877" s="62"/>
      <c r="P877" s="62"/>
    </row>
    <row r="878" spans="14:16" ht="15.75" customHeight="1" x14ac:dyDescent="0.2">
      <c r="N878" s="62"/>
      <c r="O878" s="62"/>
      <c r="P878" s="62"/>
    </row>
    <row r="879" spans="14:16" ht="15.75" customHeight="1" x14ac:dyDescent="0.2">
      <c r="N879" s="62"/>
      <c r="O879" s="62"/>
      <c r="P879" s="62"/>
    </row>
    <row r="880" spans="14:16" ht="15.75" customHeight="1" x14ac:dyDescent="0.2">
      <c r="N880" s="62"/>
      <c r="O880" s="62"/>
      <c r="P880" s="62"/>
    </row>
    <row r="881" spans="14:16" ht="15.75" customHeight="1" x14ac:dyDescent="0.2">
      <c r="N881" s="62"/>
      <c r="O881" s="62"/>
      <c r="P881" s="62"/>
    </row>
    <row r="882" spans="14:16" ht="15.75" customHeight="1" x14ac:dyDescent="0.2">
      <c r="N882" s="62"/>
      <c r="O882" s="62"/>
      <c r="P882" s="62"/>
    </row>
    <row r="883" spans="14:16" ht="15.75" customHeight="1" x14ac:dyDescent="0.2">
      <c r="N883" s="62"/>
      <c r="O883" s="62"/>
      <c r="P883" s="62"/>
    </row>
    <row r="884" spans="14:16" ht="15.75" customHeight="1" x14ac:dyDescent="0.2">
      <c r="N884" s="62"/>
      <c r="O884" s="62"/>
      <c r="P884" s="62"/>
    </row>
    <row r="885" spans="14:16" ht="15.75" customHeight="1" x14ac:dyDescent="0.2">
      <c r="N885" s="62"/>
      <c r="O885" s="62"/>
      <c r="P885" s="62"/>
    </row>
    <row r="886" spans="14:16" ht="15.75" customHeight="1" x14ac:dyDescent="0.2">
      <c r="N886" s="62"/>
      <c r="O886" s="62"/>
      <c r="P886" s="62"/>
    </row>
    <row r="887" spans="14:16" ht="15.75" customHeight="1" x14ac:dyDescent="0.2">
      <c r="N887" s="62"/>
      <c r="O887" s="62"/>
      <c r="P887" s="62"/>
    </row>
    <row r="888" spans="14:16" ht="15.75" customHeight="1" x14ac:dyDescent="0.2">
      <c r="N888" s="62"/>
      <c r="O888" s="62"/>
      <c r="P888" s="62"/>
    </row>
    <row r="889" spans="14:16" ht="15.75" customHeight="1" x14ac:dyDescent="0.2">
      <c r="N889" s="62"/>
      <c r="O889" s="62"/>
      <c r="P889" s="62"/>
    </row>
    <row r="890" spans="14:16" ht="15.75" customHeight="1" x14ac:dyDescent="0.2">
      <c r="N890" s="62"/>
      <c r="O890" s="62"/>
      <c r="P890" s="62"/>
    </row>
    <row r="891" spans="14:16" ht="15.75" customHeight="1" x14ac:dyDescent="0.2">
      <c r="N891" s="62"/>
      <c r="O891" s="62"/>
      <c r="P891" s="62"/>
    </row>
    <row r="892" spans="14:16" ht="15.75" customHeight="1" x14ac:dyDescent="0.2">
      <c r="N892" s="62"/>
      <c r="O892" s="62"/>
      <c r="P892" s="62"/>
    </row>
    <row r="893" spans="14:16" ht="15.75" customHeight="1" x14ac:dyDescent="0.2">
      <c r="N893" s="62"/>
      <c r="O893" s="62"/>
      <c r="P893" s="62"/>
    </row>
    <row r="894" spans="14:16" ht="15.75" customHeight="1" x14ac:dyDescent="0.2">
      <c r="N894" s="62"/>
      <c r="O894" s="62"/>
      <c r="P894" s="62"/>
    </row>
    <row r="895" spans="14:16" ht="15.75" customHeight="1" x14ac:dyDescent="0.2">
      <c r="N895" s="62"/>
      <c r="O895" s="62"/>
      <c r="P895" s="62"/>
    </row>
    <row r="896" spans="14:16" ht="15.75" customHeight="1" x14ac:dyDescent="0.2">
      <c r="N896" s="62"/>
      <c r="O896" s="62"/>
      <c r="P896" s="62"/>
    </row>
    <row r="897" spans="14:16" ht="15.75" customHeight="1" x14ac:dyDescent="0.2">
      <c r="N897" s="62"/>
      <c r="O897" s="62"/>
      <c r="P897" s="62"/>
    </row>
    <row r="898" spans="14:16" ht="15.75" customHeight="1" x14ac:dyDescent="0.2">
      <c r="N898" s="62"/>
      <c r="O898" s="62"/>
      <c r="P898" s="62"/>
    </row>
    <row r="899" spans="14:16" ht="15.75" customHeight="1" x14ac:dyDescent="0.2">
      <c r="N899" s="62"/>
      <c r="O899" s="62"/>
      <c r="P899" s="62"/>
    </row>
    <row r="900" spans="14:16" ht="15.75" customHeight="1" x14ac:dyDescent="0.2">
      <c r="N900" s="62"/>
      <c r="O900" s="62"/>
      <c r="P900" s="62"/>
    </row>
    <row r="901" spans="14:16" ht="15.75" customHeight="1" x14ac:dyDescent="0.2">
      <c r="N901" s="62"/>
      <c r="O901" s="62"/>
      <c r="P901" s="62"/>
    </row>
    <row r="902" spans="14:16" ht="15.75" customHeight="1" x14ac:dyDescent="0.2">
      <c r="N902" s="62"/>
      <c r="O902" s="62"/>
      <c r="P902" s="62"/>
    </row>
    <row r="903" spans="14:16" ht="15.75" customHeight="1" x14ac:dyDescent="0.2">
      <c r="N903" s="62"/>
      <c r="O903" s="62"/>
      <c r="P903" s="62"/>
    </row>
    <row r="904" spans="14:16" ht="15.75" customHeight="1" x14ac:dyDescent="0.2">
      <c r="N904" s="62"/>
      <c r="O904" s="62"/>
      <c r="P904" s="62"/>
    </row>
    <row r="905" spans="14:16" ht="15.75" customHeight="1" x14ac:dyDescent="0.2">
      <c r="N905" s="62"/>
      <c r="O905" s="62"/>
      <c r="P905" s="62"/>
    </row>
    <row r="906" spans="14:16" ht="15.75" customHeight="1" x14ac:dyDescent="0.2">
      <c r="N906" s="62"/>
      <c r="O906" s="62"/>
      <c r="P906" s="62"/>
    </row>
    <row r="907" spans="14:16" ht="15.75" customHeight="1" x14ac:dyDescent="0.2">
      <c r="N907" s="62"/>
      <c r="O907" s="62"/>
      <c r="P907" s="62"/>
    </row>
    <row r="908" spans="14:16" ht="15.75" customHeight="1" x14ac:dyDescent="0.2">
      <c r="N908" s="62"/>
      <c r="O908" s="62"/>
      <c r="P908" s="62"/>
    </row>
    <row r="909" spans="14:16" ht="15.75" customHeight="1" x14ac:dyDescent="0.2">
      <c r="N909" s="62"/>
      <c r="O909" s="62"/>
      <c r="P909" s="62"/>
    </row>
    <row r="910" spans="14:16" ht="15.75" customHeight="1" x14ac:dyDescent="0.2">
      <c r="N910" s="62"/>
      <c r="O910" s="62"/>
      <c r="P910" s="62"/>
    </row>
    <row r="911" spans="14:16" ht="15.75" customHeight="1" x14ac:dyDescent="0.2">
      <c r="N911" s="62"/>
      <c r="O911" s="62"/>
      <c r="P911" s="62"/>
    </row>
    <row r="912" spans="14:16" ht="15.75" customHeight="1" x14ac:dyDescent="0.2">
      <c r="N912" s="62"/>
      <c r="O912" s="62"/>
      <c r="P912" s="62"/>
    </row>
    <row r="913" spans="14:16" ht="15.75" customHeight="1" x14ac:dyDescent="0.2">
      <c r="N913" s="62"/>
      <c r="O913" s="62"/>
      <c r="P913" s="62"/>
    </row>
    <row r="914" spans="14:16" ht="15.75" customHeight="1" x14ac:dyDescent="0.2">
      <c r="N914" s="62"/>
      <c r="O914" s="62"/>
      <c r="P914" s="62"/>
    </row>
    <row r="915" spans="14:16" ht="15.75" customHeight="1" x14ac:dyDescent="0.2">
      <c r="N915" s="62"/>
      <c r="O915" s="62"/>
      <c r="P915" s="62"/>
    </row>
    <row r="916" spans="14:16" ht="15.75" customHeight="1" x14ac:dyDescent="0.2">
      <c r="N916" s="62"/>
      <c r="O916" s="62"/>
      <c r="P916" s="62"/>
    </row>
    <row r="917" spans="14:16" ht="15.75" customHeight="1" x14ac:dyDescent="0.2">
      <c r="N917" s="62"/>
      <c r="O917" s="62"/>
      <c r="P917" s="62"/>
    </row>
    <row r="918" spans="14:16" ht="15.75" customHeight="1" x14ac:dyDescent="0.2">
      <c r="N918" s="62"/>
      <c r="O918" s="62"/>
      <c r="P918" s="62"/>
    </row>
    <row r="919" spans="14:16" ht="15.75" customHeight="1" x14ac:dyDescent="0.2">
      <c r="N919" s="62"/>
      <c r="O919" s="62"/>
      <c r="P919" s="62"/>
    </row>
    <row r="920" spans="14:16" ht="15.75" customHeight="1" x14ac:dyDescent="0.2">
      <c r="N920" s="62"/>
      <c r="O920" s="62"/>
      <c r="P920" s="62"/>
    </row>
    <row r="921" spans="14:16" ht="15.75" customHeight="1" x14ac:dyDescent="0.2">
      <c r="N921" s="62"/>
      <c r="O921" s="62"/>
      <c r="P921" s="62"/>
    </row>
    <row r="922" spans="14:16" ht="15.75" customHeight="1" x14ac:dyDescent="0.2">
      <c r="N922" s="62"/>
      <c r="O922" s="62"/>
      <c r="P922" s="62"/>
    </row>
    <row r="923" spans="14:16" ht="15.75" customHeight="1" x14ac:dyDescent="0.2">
      <c r="N923" s="62"/>
      <c r="O923" s="62"/>
      <c r="P923" s="62"/>
    </row>
    <row r="924" spans="14:16" ht="15.75" customHeight="1" x14ac:dyDescent="0.2">
      <c r="N924" s="62"/>
      <c r="O924" s="62"/>
      <c r="P924" s="62"/>
    </row>
    <row r="925" spans="14:16" ht="15.75" customHeight="1" x14ac:dyDescent="0.2">
      <c r="N925" s="62"/>
      <c r="O925" s="62"/>
      <c r="P925" s="62"/>
    </row>
    <row r="926" spans="14:16" ht="15.75" customHeight="1" x14ac:dyDescent="0.2">
      <c r="N926" s="62"/>
      <c r="O926" s="62"/>
      <c r="P926" s="62"/>
    </row>
    <row r="927" spans="14:16" ht="15.75" customHeight="1" x14ac:dyDescent="0.2">
      <c r="N927" s="62"/>
      <c r="O927" s="62"/>
      <c r="P927" s="62"/>
    </row>
    <row r="928" spans="14:16" ht="15.75" customHeight="1" x14ac:dyDescent="0.2">
      <c r="N928" s="62"/>
      <c r="O928" s="62"/>
      <c r="P928" s="62"/>
    </row>
    <row r="929" spans="14:16" ht="15.75" customHeight="1" x14ac:dyDescent="0.2">
      <c r="N929" s="62"/>
      <c r="O929" s="62"/>
      <c r="P929" s="62"/>
    </row>
    <row r="930" spans="14:16" ht="15.75" customHeight="1" x14ac:dyDescent="0.2">
      <c r="N930" s="62"/>
      <c r="O930" s="62"/>
      <c r="P930" s="62"/>
    </row>
    <row r="931" spans="14:16" ht="15.75" customHeight="1" x14ac:dyDescent="0.2">
      <c r="N931" s="62"/>
      <c r="O931" s="62"/>
      <c r="P931" s="62"/>
    </row>
    <row r="932" spans="14:16" ht="15.75" customHeight="1" x14ac:dyDescent="0.2">
      <c r="N932" s="62"/>
      <c r="O932" s="62"/>
      <c r="P932" s="62"/>
    </row>
    <row r="933" spans="14:16" ht="15.75" customHeight="1" x14ac:dyDescent="0.2">
      <c r="N933" s="62"/>
      <c r="O933" s="62"/>
      <c r="P933" s="62"/>
    </row>
    <row r="934" spans="14:16" ht="15.75" customHeight="1" x14ac:dyDescent="0.2">
      <c r="N934" s="62"/>
      <c r="O934" s="62"/>
      <c r="P934" s="62"/>
    </row>
    <row r="935" spans="14:16" ht="15.75" customHeight="1" x14ac:dyDescent="0.2">
      <c r="N935" s="62"/>
      <c r="O935" s="62"/>
      <c r="P935" s="62"/>
    </row>
    <row r="936" spans="14:16" ht="15.75" customHeight="1" x14ac:dyDescent="0.2">
      <c r="N936" s="62"/>
      <c r="O936" s="62"/>
      <c r="P936" s="62"/>
    </row>
    <row r="937" spans="14:16" ht="15.75" customHeight="1" x14ac:dyDescent="0.2">
      <c r="N937" s="62"/>
      <c r="O937" s="62"/>
      <c r="P937" s="62"/>
    </row>
    <row r="938" spans="14:16" ht="15.75" customHeight="1" x14ac:dyDescent="0.2">
      <c r="N938" s="62"/>
      <c r="O938" s="62"/>
      <c r="P938" s="62"/>
    </row>
    <row r="939" spans="14:16" ht="15.75" customHeight="1" x14ac:dyDescent="0.2">
      <c r="N939" s="62"/>
      <c r="O939" s="62"/>
      <c r="P939" s="62"/>
    </row>
    <row r="940" spans="14:16" ht="15.75" customHeight="1" x14ac:dyDescent="0.2">
      <c r="N940" s="62"/>
      <c r="O940" s="62"/>
      <c r="P940" s="62"/>
    </row>
    <row r="941" spans="14:16" ht="15.75" customHeight="1" x14ac:dyDescent="0.2">
      <c r="N941" s="62"/>
      <c r="O941" s="62"/>
      <c r="P941" s="62"/>
    </row>
    <row r="942" spans="14:16" ht="15.75" customHeight="1" x14ac:dyDescent="0.2">
      <c r="N942" s="62"/>
      <c r="O942" s="62"/>
      <c r="P942" s="62"/>
    </row>
    <row r="943" spans="14:16" ht="15.75" customHeight="1" x14ac:dyDescent="0.2">
      <c r="N943" s="62"/>
      <c r="O943" s="62"/>
      <c r="P943" s="62"/>
    </row>
    <row r="944" spans="14:16" ht="15.75" customHeight="1" x14ac:dyDescent="0.2">
      <c r="N944" s="62"/>
      <c r="O944" s="62"/>
      <c r="P944" s="62"/>
    </row>
    <row r="945" spans="14:16" ht="15.75" customHeight="1" x14ac:dyDescent="0.2">
      <c r="N945" s="62"/>
      <c r="O945" s="62"/>
      <c r="P945" s="62"/>
    </row>
    <row r="946" spans="14:16" ht="15.75" customHeight="1" x14ac:dyDescent="0.2">
      <c r="N946" s="62"/>
      <c r="O946" s="62"/>
      <c r="P946" s="62"/>
    </row>
    <row r="947" spans="14:16" ht="15.75" customHeight="1" x14ac:dyDescent="0.2">
      <c r="N947" s="62"/>
      <c r="O947" s="62"/>
      <c r="P947" s="62"/>
    </row>
    <row r="948" spans="14:16" ht="15.75" customHeight="1" x14ac:dyDescent="0.2">
      <c r="N948" s="62"/>
      <c r="O948" s="62"/>
      <c r="P948" s="62"/>
    </row>
    <row r="949" spans="14:16" ht="15.75" customHeight="1" x14ac:dyDescent="0.2">
      <c r="N949" s="62"/>
      <c r="O949" s="62"/>
      <c r="P949" s="62"/>
    </row>
    <row r="950" spans="14:16" ht="15.75" customHeight="1" x14ac:dyDescent="0.2">
      <c r="N950" s="62"/>
      <c r="O950" s="62"/>
      <c r="P950" s="62"/>
    </row>
    <row r="951" spans="14:16" ht="15.75" customHeight="1" x14ac:dyDescent="0.2">
      <c r="N951" s="62"/>
      <c r="O951" s="62"/>
      <c r="P951" s="62"/>
    </row>
    <row r="952" spans="14:16" ht="15.75" customHeight="1" x14ac:dyDescent="0.2">
      <c r="N952" s="62"/>
      <c r="O952" s="62"/>
      <c r="P952" s="62"/>
    </row>
    <row r="953" spans="14:16" ht="15.75" customHeight="1" x14ac:dyDescent="0.2">
      <c r="N953" s="62"/>
      <c r="O953" s="62"/>
      <c r="P953" s="62"/>
    </row>
    <row r="954" spans="14:16" ht="15.75" customHeight="1" x14ac:dyDescent="0.2">
      <c r="N954" s="62"/>
      <c r="O954" s="62"/>
      <c r="P954" s="62"/>
    </row>
    <row r="955" spans="14:16" ht="15.75" customHeight="1" x14ac:dyDescent="0.2">
      <c r="N955" s="62"/>
      <c r="O955" s="62"/>
      <c r="P955" s="62"/>
    </row>
    <row r="956" spans="14:16" ht="15.75" customHeight="1" x14ac:dyDescent="0.2">
      <c r="N956" s="62"/>
      <c r="O956" s="62"/>
      <c r="P956" s="62"/>
    </row>
    <row r="957" spans="14:16" ht="15.75" customHeight="1" x14ac:dyDescent="0.2">
      <c r="N957" s="62"/>
      <c r="O957" s="62"/>
      <c r="P957" s="62"/>
    </row>
    <row r="958" spans="14:16" ht="15.75" customHeight="1" x14ac:dyDescent="0.2">
      <c r="N958" s="62"/>
      <c r="O958" s="62"/>
      <c r="P958" s="62"/>
    </row>
    <row r="959" spans="14:16" ht="15.75" customHeight="1" x14ac:dyDescent="0.2">
      <c r="N959" s="62"/>
      <c r="O959" s="62"/>
      <c r="P959" s="62"/>
    </row>
    <row r="960" spans="14:16" ht="15.75" customHeight="1" x14ac:dyDescent="0.2">
      <c r="N960" s="62"/>
      <c r="O960" s="62"/>
      <c r="P960" s="62"/>
    </row>
    <row r="961" spans="14:16" ht="15.75" customHeight="1" x14ac:dyDescent="0.2">
      <c r="N961" s="62"/>
      <c r="O961" s="62"/>
      <c r="P961" s="62"/>
    </row>
    <row r="962" spans="14:16" ht="15.75" customHeight="1" x14ac:dyDescent="0.2">
      <c r="N962" s="62"/>
      <c r="O962" s="62"/>
      <c r="P962" s="62"/>
    </row>
    <row r="963" spans="14:16" ht="15.75" customHeight="1" x14ac:dyDescent="0.2">
      <c r="N963" s="62"/>
      <c r="O963" s="62"/>
      <c r="P963" s="62"/>
    </row>
    <row r="964" spans="14:16" ht="15.75" customHeight="1" x14ac:dyDescent="0.2">
      <c r="N964" s="62"/>
      <c r="O964" s="62"/>
      <c r="P964" s="62"/>
    </row>
    <row r="965" spans="14:16" ht="15.75" customHeight="1" x14ac:dyDescent="0.2">
      <c r="N965" s="62"/>
      <c r="O965" s="62"/>
      <c r="P965" s="62"/>
    </row>
    <row r="966" spans="14:16" ht="15.75" customHeight="1" x14ac:dyDescent="0.2">
      <c r="N966" s="62"/>
      <c r="O966" s="62"/>
      <c r="P966" s="62"/>
    </row>
    <row r="967" spans="14:16" ht="15.75" customHeight="1" x14ac:dyDescent="0.2">
      <c r="N967" s="62"/>
      <c r="O967" s="62"/>
      <c r="P967" s="62"/>
    </row>
    <row r="968" spans="14:16" ht="15.75" customHeight="1" x14ac:dyDescent="0.2">
      <c r="N968" s="62"/>
      <c r="O968" s="62"/>
      <c r="P968" s="62"/>
    </row>
    <row r="969" spans="14:16" ht="15.75" customHeight="1" x14ac:dyDescent="0.2">
      <c r="N969" s="62"/>
      <c r="O969" s="62"/>
      <c r="P969" s="62"/>
    </row>
    <row r="970" spans="14:16" ht="15.75" customHeight="1" x14ac:dyDescent="0.2">
      <c r="N970" s="62"/>
      <c r="O970" s="62"/>
      <c r="P970" s="62"/>
    </row>
    <row r="971" spans="14:16" ht="15.75" customHeight="1" x14ac:dyDescent="0.2">
      <c r="N971" s="62"/>
      <c r="O971" s="62"/>
      <c r="P971" s="62"/>
    </row>
    <row r="972" spans="14:16" ht="15.75" customHeight="1" x14ac:dyDescent="0.2">
      <c r="N972" s="62"/>
      <c r="O972" s="62"/>
      <c r="P972" s="62"/>
    </row>
    <row r="973" spans="14:16" ht="15.75" customHeight="1" x14ac:dyDescent="0.2">
      <c r="N973" s="62"/>
      <c r="O973" s="62"/>
      <c r="P973" s="62"/>
    </row>
    <row r="974" spans="14:16" ht="15.75" customHeight="1" x14ac:dyDescent="0.2">
      <c r="N974" s="62"/>
      <c r="O974" s="62"/>
      <c r="P974" s="62"/>
    </row>
    <row r="975" spans="14:16" ht="15.75" customHeight="1" x14ac:dyDescent="0.2">
      <c r="N975" s="62"/>
      <c r="O975" s="62"/>
      <c r="P975" s="62"/>
    </row>
    <row r="976" spans="14:16" ht="15.75" customHeight="1" x14ac:dyDescent="0.2">
      <c r="N976" s="62"/>
      <c r="O976" s="62"/>
      <c r="P976" s="62"/>
    </row>
    <row r="977" spans="14:16" ht="15.75" customHeight="1" x14ac:dyDescent="0.2">
      <c r="N977" s="62"/>
      <c r="O977" s="62"/>
      <c r="P977" s="62"/>
    </row>
    <row r="978" spans="14:16" ht="15.75" customHeight="1" x14ac:dyDescent="0.2">
      <c r="N978" s="62"/>
      <c r="O978" s="62"/>
      <c r="P978" s="62"/>
    </row>
    <row r="979" spans="14:16" ht="15.75" customHeight="1" x14ac:dyDescent="0.2">
      <c r="N979" s="62"/>
      <c r="O979" s="62"/>
      <c r="P979" s="62"/>
    </row>
    <row r="980" spans="14:16" ht="15.75" customHeight="1" x14ac:dyDescent="0.2">
      <c r="N980" s="62"/>
      <c r="O980" s="62"/>
      <c r="P980" s="62"/>
    </row>
    <row r="981" spans="14:16" ht="15.75" customHeight="1" x14ac:dyDescent="0.2">
      <c r="N981" s="62"/>
      <c r="O981" s="62"/>
      <c r="P981" s="62"/>
    </row>
    <row r="982" spans="14:16" ht="15.75" customHeight="1" x14ac:dyDescent="0.2">
      <c r="N982" s="62"/>
      <c r="O982" s="62"/>
      <c r="P982" s="62"/>
    </row>
    <row r="983" spans="14:16" ht="15.75" customHeight="1" x14ac:dyDescent="0.2">
      <c r="N983" s="62"/>
      <c r="O983" s="62"/>
      <c r="P983" s="62"/>
    </row>
    <row r="984" spans="14:16" ht="15.75" customHeight="1" x14ac:dyDescent="0.2">
      <c r="N984" s="62"/>
      <c r="O984" s="62"/>
      <c r="P984" s="62"/>
    </row>
    <row r="985" spans="14:16" ht="15.75" customHeight="1" x14ac:dyDescent="0.2">
      <c r="N985" s="62"/>
      <c r="O985" s="62"/>
      <c r="P985" s="62"/>
    </row>
    <row r="986" spans="14:16" ht="15.75" customHeight="1" x14ac:dyDescent="0.2">
      <c r="N986" s="62"/>
      <c r="O986" s="62"/>
      <c r="P986" s="62"/>
    </row>
    <row r="987" spans="14:16" ht="15.75" customHeight="1" x14ac:dyDescent="0.2">
      <c r="N987" s="62"/>
      <c r="O987" s="62"/>
      <c r="P987" s="62"/>
    </row>
    <row r="988" spans="14:16" ht="15.75" customHeight="1" x14ac:dyDescent="0.2">
      <c r="N988" s="62"/>
      <c r="O988" s="62"/>
      <c r="P988" s="62"/>
    </row>
    <row r="989" spans="14:16" ht="15.75" customHeight="1" x14ac:dyDescent="0.2">
      <c r="N989" s="62"/>
      <c r="O989" s="62"/>
      <c r="P989" s="62"/>
    </row>
    <row r="990" spans="14:16" ht="15.75" customHeight="1" x14ac:dyDescent="0.2">
      <c r="N990" s="62"/>
      <c r="O990" s="62"/>
      <c r="P990" s="62"/>
    </row>
    <row r="991" spans="14:16" ht="15.75" customHeight="1" x14ac:dyDescent="0.2">
      <c r="N991" s="62"/>
      <c r="O991" s="62"/>
      <c r="P991" s="62"/>
    </row>
    <row r="992" spans="14:16" ht="15.75" customHeight="1" x14ac:dyDescent="0.2">
      <c r="N992" s="62"/>
      <c r="O992" s="62"/>
      <c r="P992" s="62"/>
    </row>
    <row r="993" spans="14:16" ht="15.75" customHeight="1" x14ac:dyDescent="0.2">
      <c r="N993" s="62"/>
      <c r="O993" s="62"/>
      <c r="P993" s="62"/>
    </row>
    <row r="994" spans="14:16" ht="15.75" customHeight="1" x14ac:dyDescent="0.2">
      <c r="N994" s="62"/>
      <c r="O994" s="62"/>
      <c r="P994" s="62"/>
    </row>
    <row r="995" spans="14:16" ht="15.75" customHeight="1" x14ac:dyDescent="0.2">
      <c r="N995" s="62"/>
      <c r="O995" s="62"/>
      <c r="P995" s="62"/>
    </row>
    <row r="996" spans="14:16" ht="15.75" customHeight="1" x14ac:dyDescent="0.2">
      <c r="N996" s="62"/>
      <c r="O996" s="62"/>
      <c r="P996" s="62"/>
    </row>
    <row r="997" spans="14:16" ht="15.75" customHeight="1" x14ac:dyDescent="0.2">
      <c r="N997" s="62"/>
      <c r="O997" s="62"/>
      <c r="P997" s="62"/>
    </row>
    <row r="998" spans="14:16" ht="15.75" customHeight="1" x14ac:dyDescent="0.2">
      <c r="N998" s="62"/>
      <c r="O998" s="62"/>
      <c r="P998" s="62"/>
    </row>
    <row r="999" spans="14:16" ht="15.75" customHeight="1" x14ac:dyDescent="0.2">
      <c r="N999" s="62"/>
      <c r="O999" s="62"/>
      <c r="P999" s="62"/>
    </row>
    <row r="1000" spans="14:16" ht="15.75" customHeight="1" x14ac:dyDescent="0.2">
      <c r="N1000" s="62"/>
      <c r="O1000" s="62"/>
      <c r="P1000" s="62"/>
    </row>
    <row r="1001" spans="14:16" ht="15.75" customHeight="1" x14ac:dyDescent="0.2">
      <c r="N1001" s="62"/>
      <c r="O1001" s="62"/>
      <c r="P1001" s="62"/>
    </row>
    <row r="1002" spans="14:16" ht="15.75" customHeight="1" x14ac:dyDescent="0.2">
      <c r="N1002" s="62"/>
      <c r="O1002" s="62"/>
      <c r="P1002" s="62"/>
    </row>
    <row r="1003" spans="14:16" ht="15.75" customHeight="1" x14ac:dyDescent="0.2">
      <c r="N1003" s="62"/>
      <c r="O1003" s="62"/>
      <c r="P1003" s="62"/>
    </row>
    <row r="1004" spans="14:16" ht="15.75" customHeight="1" x14ac:dyDescent="0.2">
      <c r="N1004" s="62"/>
      <c r="O1004" s="62"/>
      <c r="P1004" s="62"/>
    </row>
  </sheetData>
  <mergeCells count="23">
    <mergeCell ref="B85:B98"/>
    <mergeCell ref="B99:B112"/>
    <mergeCell ref="E176:F176"/>
    <mergeCell ref="B113:B115"/>
    <mergeCell ref="B116:B117"/>
    <mergeCell ref="B118:B138"/>
    <mergeCell ref="B139:B140"/>
    <mergeCell ref="B141:B159"/>
    <mergeCell ref="B160:B169"/>
    <mergeCell ref="B170:B175"/>
    <mergeCell ref="B58:B73"/>
    <mergeCell ref="B74:B84"/>
    <mergeCell ref="K22:M22"/>
    <mergeCell ref="B7:B22"/>
    <mergeCell ref="B23:B33"/>
    <mergeCell ref="B34:B47"/>
    <mergeCell ref="B48:B57"/>
    <mergeCell ref="K2:K4"/>
    <mergeCell ref="L2:L4"/>
    <mergeCell ref="M2:M4"/>
    <mergeCell ref="C5:C6"/>
    <mergeCell ref="D5:D6"/>
    <mergeCell ref="E5:E6"/>
  </mergeCells>
  <conditionalFormatting sqref="C7:D78 C81:D175 C79:C8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7:E175">
    <cfRule type="colorScale" priority="3">
      <colorScale>
        <cfvo type="min"/>
        <cfvo type="max"/>
        <color rgb="FFFFFFFF"/>
        <color rgb="FF57BB8A"/>
      </colorScale>
    </cfRule>
  </conditionalFormatting>
  <conditionalFormatting sqref="K7:M175">
    <cfRule type="notContainsBlanks" dxfId="4" priority="4">
      <formula>LEN(TRIM(K7))&gt;0</formula>
    </cfRule>
  </conditionalFormatting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AF1003"/>
  <sheetViews>
    <sheetView showGridLines="0" topLeftCell="A3" workbookViewId="0">
      <selection activeCell="F81" sqref="F81"/>
    </sheetView>
  </sheetViews>
  <sheetFormatPr defaultColWidth="12.5703125" defaultRowHeight="15" customHeight="1" x14ac:dyDescent="0.2"/>
  <cols>
    <col min="1" max="1" width="3.7109375" customWidth="1"/>
    <col min="2" max="2" width="10" customWidth="1"/>
    <col min="3" max="3" width="3.28515625" customWidth="1"/>
    <col min="4" max="4" width="3.42578125" customWidth="1"/>
    <col min="5" max="5" width="2.42578125" customWidth="1"/>
    <col min="6" max="6" width="21.28515625" customWidth="1"/>
    <col min="7" max="7" width="6.5703125" customWidth="1"/>
    <col min="8" max="8" width="11.140625" customWidth="1"/>
    <col min="9" max="9" width="8.42578125" customWidth="1"/>
    <col min="10" max="10" width="7.7109375" customWidth="1"/>
    <col min="11" max="13" width="5.42578125" customWidth="1"/>
    <col min="14" max="14" width="21.28515625" customWidth="1"/>
    <col min="15" max="16" width="22.7109375" customWidth="1"/>
  </cols>
  <sheetData>
    <row r="1" spans="1:32" ht="15.75" customHeight="1" x14ac:dyDescent="0.2">
      <c r="A1" s="60"/>
      <c r="B1" s="60"/>
      <c r="C1" s="3"/>
      <c r="D1" s="3"/>
      <c r="E1" s="3"/>
      <c r="F1" s="4"/>
      <c r="G1" s="3"/>
      <c r="H1" s="3"/>
      <c r="I1" s="3"/>
      <c r="J1" s="3"/>
      <c r="K1" s="61"/>
      <c r="L1" s="61"/>
      <c r="M1" s="61"/>
      <c r="N1" s="4"/>
      <c r="O1" s="4"/>
      <c r="P1" s="4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2" ht="15.75" customHeight="1" x14ac:dyDescent="0.2">
      <c r="A2" s="60"/>
      <c r="B2" s="63"/>
      <c r="C2" s="64"/>
      <c r="D2" s="64"/>
      <c r="E2" s="64"/>
      <c r="F2" s="65"/>
      <c r="G2" s="64"/>
      <c r="H2" s="64"/>
      <c r="I2" s="64"/>
      <c r="J2" s="64"/>
      <c r="K2" s="228"/>
      <c r="L2" s="228"/>
      <c r="M2" s="228"/>
      <c r="N2" s="65"/>
      <c r="O2" s="66"/>
      <c r="P2" s="66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</row>
    <row r="3" spans="1:32" ht="15.75" customHeight="1" x14ac:dyDescent="0.2">
      <c r="A3" s="60"/>
      <c r="B3" s="67" t="s">
        <v>105</v>
      </c>
      <c r="C3" s="68"/>
      <c r="D3" s="68"/>
      <c r="E3" s="68"/>
      <c r="F3" s="69"/>
      <c r="G3" s="68"/>
      <c r="H3" s="68"/>
      <c r="I3" s="70"/>
      <c r="J3" s="70"/>
      <c r="K3" s="209"/>
      <c r="L3" s="209"/>
      <c r="M3" s="209"/>
      <c r="N3" s="71"/>
      <c r="O3" s="66"/>
      <c r="P3" s="66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4" spans="1:32" ht="15.75" customHeight="1" x14ac:dyDescent="0.2">
      <c r="A4" s="60"/>
      <c r="B4" s="72"/>
      <c r="C4" s="73"/>
      <c r="D4" s="73"/>
      <c r="E4" s="73"/>
      <c r="F4" s="74"/>
      <c r="G4" s="73"/>
      <c r="H4" s="73"/>
      <c r="I4" s="73"/>
      <c r="J4" s="73"/>
      <c r="K4" s="209"/>
      <c r="L4" s="209"/>
      <c r="M4" s="209"/>
      <c r="N4" s="74"/>
      <c r="O4" s="66"/>
      <c r="P4" s="66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spans="1:32" ht="27.75" customHeight="1" x14ac:dyDescent="0.2">
      <c r="A5" s="60"/>
      <c r="B5" s="75"/>
      <c r="C5" s="229" t="s">
        <v>106</v>
      </c>
      <c r="D5" s="229" t="s">
        <v>2</v>
      </c>
      <c r="E5" s="229" t="s">
        <v>3</v>
      </c>
      <c r="F5" s="76"/>
      <c r="G5" s="75"/>
      <c r="H5" s="75"/>
      <c r="I5" s="75"/>
      <c r="J5" s="75"/>
      <c r="K5" s="210"/>
      <c r="L5" s="210"/>
      <c r="M5" s="210"/>
      <c r="N5" s="76"/>
      <c r="O5" s="66"/>
      <c r="P5" s="66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</row>
    <row r="6" spans="1:32" ht="15.75" customHeight="1" x14ac:dyDescent="0.2">
      <c r="A6" s="60"/>
      <c r="B6" s="77" t="s">
        <v>4</v>
      </c>
      <c r="C6" s="210"/>
      <c r="D6" s="210"/>
      <c r="E6" s="210"/>
      <c r="F6" s="78" t="s">
        <v>5</v>
      </c>
      <c r="G6" s="79" t="s">
        <v>6</v>
      </c>
      <c r="H6" s="79" t="s">
        <v>7</v>
      </c>
      <c r="I6" s="79" t="s">
        <v>8</v>
      </c>
      <c r="J6" s="79" t="s">
        <v>9</v>
      </c>
      <c r="K6" s="19" t="s">
        <v>368</v>
      </c>
      <c r="L6" s="19" t="s">
        <v>369</v>
      </c>
      <c r="M6" s="19" t="s">
        <v>370</v>
      </c>
      <c r="N6" s="80" t="s">
        <v>10</v>
      </c>
      <c r="O6" s="21" t="s">
        <v>11</v>
      </c>
      <c r="P6" s="22" t="s">
        <v>12</v>
      </c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</row>
    <row r="7" spans="1:32" ht="15.75" customHeight="1" x14ac:dyDescent="0.2">
      <c r="A7" s="60"/>
      <c r="B7" s="223" t="s">
        <v>107</v>
      </c>
      <c r="C7" s="193">
        <v>9</v>
      </c>
      <c r="D7" s="81">
        <v>6</v>
      </c>
      <c r="E7" s="81">
        <v>5</v>
      </c>
      <c r="F7" s="25" t="s">
        <v>108</v>
      </c>
      <c r="G7" s="81">
        <v>74</v>
      </c>
      <c r="H7" s="81">
        <v>45</v>
      </c>
      <c r="I7" s="81">
        <v>39</v>
      </c>
      <c r="J7" s="82">
        <f t="shared" ref="J7:J89" si="0">IF(OR(I7="",I7=0),0,I7/H7)</f>
        <v>0.8666666666666667</v>
      </c>
      <c r="K7" s="83">
        <v>46132</v>
      </c>
      <c r="L7" s="83">
        <v>46145</v>
      </c>
      <c r="M7" s="83">
        <v>46165</v>
      </c>
      <c r="N7" s="25" t="s">
        <v>591</v>
      </c>
      <c r="O7" s="84" t="str">
        <f t="shared" ref="O7:O89" si="1">IF(OR(K7="",L7="",M7=""),"⬜ Aguardando 3º contato",IF(J7=0,"⬜ Sem acertos registrados",IF(J7&gt;0.9,"✅ Rever em "&amp;TEXT(M7+60,"dd/mm/aaaa"),IF(J7&gt;0.8001,"🔵 Rever em "&amp;TEXT(M7+45,"dd/mm/aaaa"),IF(J7&gt;0.7001,"🟡 Rever em "&amp;TEXT(M7+30,"dd/mm/aaaa"),"🔴 Rever em "&amp;TEXT(M7+7,"dd/mm/aaaa"))))))</f>
        <v>🔵 Rever em 07/07/2026</v>
      </c>
      <c r="P7" s="31" t="str">
        <f t="shared" ref="P7:P89" si="2">IF(J7=0,"",IF(AND(J7&lt;0.7,MAX(C7,D7)&gt;=4),"🚨 CRÍTICO: Alta incidência + baixo aproveitamento",IF(J7&lt;0.7,"⚠️ Baixo aproveitamento - revisar urgente",IF(AND(J7&lt;0.8,MAX(C7,D7)&gt;=4),"📌 Atenção: Alta incidência",""))))</f>
        <v/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</row>
    <row r="8" spans="1:32" ht="15.75" customHeight="1" x14ac:dyDescent="0.2">
      <c r="A8" s="60"/>
      <c r="B8" s="224"/>
      <c r="C8" s="250">
        <v>3</v>
      </c>
      <c r="D8" s="81">
        <v>4</v>
      </c>
      <c r="E8" s="81">
        <v>5</v>
      </c>
      <c r="F8" s="25" t="s">
        <v>109</v>
      </c>
      <c r="G8" s="81">
        <v>53</v>
      </c>
      <c r="H8" s="81">
        <v>22</v>
      </c>
      <c r="I8" s="81">
        <v>17</v>
      </c>
      <c r="J8" s="82">
        <f t="shared" si="0"/>
        <v>0.77272727272727271</v>
      </c>
      <c r="K8" s="83">
        <v>46101</v>
      </c>
      <c r="L8" s="83">
        <v>46132</v>
      </c>
      <c r="M8" s="83"/>
      <c r="N8" s="25" t="s">
        <v>591</v>
      </c>
      <c r="O8" s="30" t="str">
        <f t="shared" si="1"/>
        <v>⬜ Aguardando 3º contato</v>
      </c>
      <c r="P8" s="32" t="str">
        <f t="shared" si="2"/>
        <v>📌 Atenção: Alta incidência</v>
      </c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</row>
    <row r="9" spans="1:32" ht="15.75" customHeight="1" x14ac:dyDescent="0.2">
      <c r="A9" s="60"/>
      <c r="B9" s="224"/>
      <c r="C9" s="250">
        <v>13</v>
      </c>
      <c r="D9" s="81">
        <v>0</v>
      </c>
      <c r="E9" s="81">
        <v>5</v>
      </c>
      <c r="F9" s="25" t="s">
        <v>445</v>
      </c>
      <c r="G9" s="85">
        <v>50</v>
      </c>
      <c r="H9" s="81">
        <v>30</v>
      </c>
      <c r="I9" s="81">
        <v>24</v>
      </c>
      <c r="J9" s="82">
        <f t="shared" si="0"/>
        <v>0.8</v>
      </c>
      <c r="K9" s="83">
        <v>46149</v>
      </c>
      <c r="L9" s="83">
        <v>46165</v>
      </c>
      <c r="M9" s="83"/>
      <c r="N9" s="25" t="s">
        <v>609</v>
      </c>
      <c r="O9" s="30" t="str">
        <f t="shared" si="1"/>
        <v>⬜ Aguardando 3º contato</v>
      </c>
      <c r="P9" s="32" t="str">
        <f t="shared" si="2"/>
        <v/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</row>
    <row r="10" spans="1:32" ht="15.75" customHeight="1" x14ac:dyDescent="0.2">
      <c r="A10" s="60"/>
      <c r="B10" s="224"/>
      <c r="C10" s="251">
        <v>3</v>
      </c>
      <c r="D10" s="81">
        <v>0</v>
      </c>
      <c r="E10" s="81">
        <v>3</v>
      </c>
      <c r="F10" s="25" t="s">
        <v>110</v>
      </c>
      <c r="G10" s="81">
        <v>42</v>
      </c>
      <c r="H10" s="81">
        <v>30</v>
      </c>
      <c r="I10" s="81"/>
      <c r="J10" s="82">
        <f t="shared" si="0"/>
        <v>0</v>
      </c>
      <c r="K10" s="83"/>
      <c r="L10" s="83"/>
      <c r="M10" s="83"/>
      <c r="N10" s="25" t="s">
        <v>316</v>
      </c>
      <c r="O10" s="30" t="str">
        <f t="shared" si="1"/>
        <v>⬜ Aguardando 3º contato</v>
      </c>
      <c r="P10" s="32" t="str">
        <f t="shared" si="2"/>
        <v/>
      </c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</row>
    <row r="11" spans="1:32" ht="15.75" customHeight="1" x14ac:dyDescent="0.2">
      <c r="A11" s="60"/>
      <c r="B11" s="224"/>
      <c r="C11" s="81">
        <v>3</v>
      </c>
      <c r="D11" s="81">
        <v>1</v>
      </c>
      <c r="E11" s="81">
        <v>1</v>
      </c>
      <c r="F11" s="25" t="s">
        <v>446</v>
      </c>
      <c r="G11" s="81">
        <v>8</v>
      </c>
      <c r="H11" s="81">
        <v>7</v>
      </c>
      <c r="I11" s="81">
        <f>5</f>
        <v>5</v>
      </c>
      <c r="J11" s="82">
        <f t="shared" si="0"/>
        <v>0.7142857142857143</v>
      </c>
      <c r="K11" s="83">
        <v>46168</v>
      </c>
      <c r="L11" s="83"/>
      <c r="M11" s="83"/>
      <c r="N11" s="25" t="s">
        <v>591</v>
      </c>
      <c r="O11" s="30" t="str">
        <f t="shared" si="1"/>
        <v>⬜ Aguardando 3º contato</v>
      </c>
      <c r="P11" s="32" t="str">
        <f t="shared" si="2"/>
        <v/>
      </c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</row>
    <row r="12" spans="1:32" ht="15.75" customHeight="1" x14ac:dyDescent="0.2">
      <c r="A12" s="60"/>
      <c r="B12" s="224"/>
      <c r="C12" s="81">
        <v>11</v>
      </c>
      <c r="D12" s="81">
        <v>4</v>
      </c>
      <c r="E12" s="81">
        <v>5</v>
      </c>
      <c r="F12" s="25" t="s">
        <v>447</v>
      </c>
      <c r="G12" s="81">
        <v>42</v>
      </c>
      <c r="H12" s="81">
        <f>30+15</f>
        <v>45</v>
      </c>
      <c r="I12" s="81">
        <f>24+13</f>
        <v>37</v>
      </c>
      <c r="J12" s="82">
        <f t="shared" si="0"/>
        <v>0.82222222222222219</v>
      </c>
      <c r="K12" s="83">
        <v>46051</v>
      </c>
      <c r="L12" s="83">
        <v>46092</v>
      </c>
      <c r="M12" s="83">
        <v>46195</v>
      </c>
      <c r="N12" s="25" t="s">
        <v>599</v>
      </c>
      <c r="O12" s="30" t="str">
        <f t="shared" si="1"/>
        <v>🔵 Rever em 06/08/2026</v>
      </c>
      <c r="P12" s="32" t="str">
        <f t="shared" si="2"/>
        <v/>
      </c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</row>
    <row r="13" spans="1:32" ht="15.75" customHeight="1" x14ac:dyDescent="0.2">
      <c r="A13" s="60"/>
      <c r="B13" s="224"/>
      <c r="C13" s="81">
        <v>6</v>
      </c>
      <c r="D13" s="81">
        <v>10</v>
      </c>
      <c r="E13" s="81">
        <v>5</v>
      </c>
      <c r="F13" s="25" t="s">
        <v>448</v>
      </c>
      <c r="G13" s="81">
        <v>60</v>
      </c>
      <c r="H13" s="81">
        <v>50</v>
      </c>
      <c r="I13" s="81"/>
      <c r="J13" s="82">
        <f t="shared" si="0"/>
        <v>0</v>
      </c>
      <c r="K13" s="83"/>
      <c r="L13" s="83"/>
      <c r="M13" s="83"/>
      <c r="N13" s="25" t="s">
        <v>610</v>
      </c>
      <c r="O13" s="30" t="str">
        <f t="shared" si="1"/>
        <v>⬜ Aguardando 3º contato</v>
      </c>
      <c r="P13" s="32" t="str">
        <f t="shared" si="2"/>
        <v/>
      </c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</row>
    <row r="14" spans="1:32" ht="15.75" customHeight="1" x14ac:dyDescent="0.2">
      <c r="A14" s="60"/>
      <c r="B14" s="224"/>
      <c r="C14" s="81">
        <v>5</v>
      </c>
      <c r="D14" s="81">
        <v>5</v>
      </c>
      <c r="E14" s="81">
        <v>5</v>
      </c>
      <c r="F14" s="25" t="s">
        <v>111</v>
      </c>
      <c r="G14" s="81">
        <v>46</v>
      </c>
      <c r="H14" s="81">
        <v>50</v>
      </c>
      <c r="I14" s="81"/>
      <c r="J14" s="82">
        <f t="shared" si="0"/>
        <v>0</v>
      </c>
      <c r="K14" s="83"/>
      <c r="L14" s="83"/>
      <c r="M14" s="83"/>
      <c r="N14" s="25" t="s">
        <v>600</v>
      </c>
      <c r="O14" s="30" t="str">
        <f t="shared" si="1"/>
        <v>⬜ Aguardando 3º contato</v>
      </c>
      <c r="P14" s="32" t="str">
        <f t="shared" si="2"/>
        <v/>
      </c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</row>
    <row r="15" spans="1:32" ht="15.75" customHeight="1" x14ac:dyDescent="0.2">
      <c r="A15" s="60"/>
      <c r="B15" s="224"/>
      <c r="C15" s="81">
        <v>0</v>
      </c>
      <c r="D15" s="81">
        <v>1</v>
      </c>
      <c r="E15" s="81">
        <v>3</v>
      </c>
      <c r="F15" s="25" t="s">
        <v>449</v>
      </c>
      <c r="G15" s="81">
        <v>38</v>
      </c>
      <c r="H15" s="81">
        <v>30</v>
      </c>
      <c r="I15" s="81"/>
      <c r="J15" s="82">
        <f t="shared" si="0"/>
        <v>0</v>
      </c>
      <c r="K15" s="83"/>
      <c r="L15" s="83"/>
      <c r="M15" s="83"/>
      <c r="N15" s="25" t="s">
        <v>591</v>
      </c>
      <c r="O15" s="30" t="str">
        <f t="shared" si="1"/>
        <v>⬜ Aguardando 3º contato</v>
      </c>
      <c r="P15" s="32" t="str">
        <f t="shared" si="2"/>
        <v/>
      </c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</row>
    <row r="16" spans="1:32" ht="15.75" customHeight="1" x14ac:dyDescent="0.2">
      <c r="A16" s="60"/>
      <c r="B16" s="224"/>
      <c r="C16" s="81">
        <v>3</v>
      </c>
      <c r="D16" s="81">
        <v>1</v>
      </c>
      <c r="E16" s="81">
        <v>5</v>
      </c>
      <c r="F16" s="25" t="s">
        <v>450</v>
      </c>
      <c r="G16" s="81">
        <v>13</v>
      </c>
      <c r="H16" s="81">
        <v>10</v>
      </c>
      <c r="I16" s="81">
        <v>9</v>
      </c>
      <c r="J16" s="82">
        <f t="shared" si="0"/>
        <v>0.9</v>
      </c>
      <c r="K16" s="83">
        <v>46035</v>
      </c>
      <c r="L16" s="83"/>
      <c r="M16" s="83"/>
      <c r="N16" s="25" t="s">
        <v>366</v>
      </c>
      <c r="O16" s="30" t="str">
        <f t="shared" si="1"/>
        <v>⬜ Aguardando 3º contato</v>
      </c>
      <c r="P16" s="32" t="str">
        <f t="shared" si="2"/>
        <v/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</row>
    <row r="17" spans="1:32" ht="15.75" customHeight="1" x14ac:dyDescent="0.2">
      <c r="A17" s="60"/>
      <c r="B17" s="224"/>
      <c r="C17" s="81">
        <v>7</v>
      </c>
      <c r="D17" s="81">
        <v>1</v>
      </c>
      <c r="E17" s="81">
        <v>5</v>
      </c>
      <c r="F17" s="25" t="s">
        <v>451</v>
      </c>
      <c r="G17" s="81">
        <v>18</v>
      </c>
      <c r="H17" s="81">
        <f>15+14</f>
        <v>29</v>
      </c>
      <c r="I17" s="81">
        <f>9+8</f>
        <v>17</v>
      </c>
      <c r="J17" s="82">
        <f t="shared" si="0"/>
        <v>0.58620689655172409</v>
      </c>
      <c r="K17" s="83">
        <v>46051</v>
      </c>
      <c r="L17" s="83">
        <v>46073</v>
      </c>
      <c r="M17" s="83">
        <v>46195</v>
      </c>
      <c r="N17" s="25" t="s">
        <v>601</v>
      </c>
      <c r="O17" s="30" t="str">
        <f t="shared" si="1"/>
        <v>🔴 Rever em 29/06/2026</v>
      </c>
      <c r="P17" s="32" t="str">
        <f t="shared" si="2"/>
        <v>🚨 CRÍTICO: Alta incidência + baixo aproveitamento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</row>
    <row r="18" spans="1:32" ht="15.75" customHeight="1" x14ac:dyDescent="0.2">
      <c r="A18" s="60"/>
      <c r="B18" s="224"/>
      <c r="C18" s="81">
        <v>5</v>
      </c>
      <c r="D18" s="81">
        <v>9</v>
      </c>
      <c r="E18" s="81">
        <v>5</v>
      </c>
      <c r="F18" s="25" t="s">
        <v>452</v>
      </c>
      <c r="G18" s="81">
        <v>22</v>
      </c>
      <c r="H18" s="81">
        <f>7+15</f>
        <v>22</v>
      </c>
      <c r="I18" s="81">
        <f>3+13</f>
        <v>16</v>
      </c>
      <c r="J18" s="82">
        <f t="shared" si="0"/>
        <v>0.72727272727272729</v>
      </c>
      <c r="K18" s="83">
        <v>46051</v>
      </c>
      <c r="L18" s="83">
        <v>46129</v>
      </c>
      <c r="M18" s="83">
        <v>46170</v>
      </c>
      <c r="N18" s="25" t="s">
        <v>314</v>
      </c>
      <c r="O18" s="30" t="str">
        <f t="shared" si="1"/>
        <v>🟡 Rever em 27/06/2026</v>
      </c>
      <c r="P18" s="32" t="str">
        <f t="shared" si="2"/>
        <v>📌 Atenção: Alta incidência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</row>
    <row r="19" spans="1:32" ht="15.75" customHeight="1" x14ac:dyDescent="0.2">
      <c r="A19" s="60"/>
      <c r="B19" s="224"/>
      <c r="C19" s="81">
        <v>2</v>
      </c>
      <c r="D19" s="81">
        <v>0</v>
      </c>
      <c r="E19" s="81">
        <v>4</v>
      </c>
      <c r="F19" s="25" t="s">
        <v>453</v>
      </c>
      <c r="G19" s="81">
        <v>20</v>
      </c>
      <c r="H19" s="81">
        <f>24+15</f>
        <v>39</v>
      </c>
      <c r="I19" s="81">
        <f>13+8</f>
        <v>21</v>
      </c>
      <c r="J19" s="82">
        <f t="shared" si="0"/>
        <v>0.53846153846153844</v>
      </c>
      <c r="K19" s="83">
        <v>46086</v>
      </c>
      <c r="L19" s="83">
        <v>46092</v>
      </c>
      <c r="M19" s="83">
        <v>46175</v>
      </c>
      <c r="N19" s="25" t="s">
        <v>309</v>
      </c>
      <c r="O19" s="30" t="str">
        <f t="shared" si="1"/>
        <v>🔴 Rever em 09/06/2026</v>
      </c>
      <c r="P19" s="32" t="str">
        <f t="shared" si="2"/>
        <v>⚠️ Baixo aproveitamento - revisar urgente</v>
      </c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</row>
    <row r="20" spans="1:32" ht="15.75" customHeight="1" x14ac:dyDescent="0.2">
      <c r="A20" s="60"/>
      <c r="B20" s="224"/>
      <c r="C20" s="81">
        <v>10</v>
      </c>
      <c r="D20" s="81">
        <v>5</v>
      </c>
      <c r="E20" s="81">
        <v>4</v>
      </c>
      <c r="F20" s="25" t="s">
        <v>112</v>
      </c>
      <c r="G20" s="85">
        <v>54</v>
      </c>
      <c r="H20" s="81">
        <v>30</v>
      </c>
      <c r="I20" s="81">
        <v>26</v>
      </c>
      <c r="J20" s="82">
        <f t="shared" si="0"/>
        <v>0.8666666666666667</v>
      </c>
      <c r="K20" s="83">
        <v>46150</v>
      </c>
      <c r="L20" s="83">
        <v>46165</v>
      </c>
      <c r="M20" s="83"/>
      <c r="N20" s="25" t="s">
        <v>317</v>
      </c>
      <c r="O20" s="30" t="str">
        <f t="shared" si="1"/>
        <v>⬜ Aguardando 3º contato</v>
      </c>
      <c r="P20" s="32" t="str">
        <f t="shared" si="2"/>
        <v/>
      </c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</row>
    <row r="21" spans="1:32" ht="15.75" customHeight="1" x14ac:dyDescent="0.2">
      <c r="A21" s="60"/>
      <c r="B21" s="224"/>
      <c r="C21" s="81">
        <v>3</v>
      </c>
      <c r="D21" s="81">
        <v>2</v>
      </c>
      <c r="E21" s="81">
        <v>2</v>
      </c>
      <c r="F21" s="25" t="s">
        <v>113</v>
      </c>
      <c r="G21" s="81">
        <v>37</v>
      </c>
      <c r="H21" s="81">
        <v>20</v>
      </c>
      <c r="I21" s="81"/>
      <c r="J21" s="82">
        <f t="shared" si="0"/>
        <v>0</v>
      </c>
      <c r="K21" s="83"/>
      <c r="L21" s="83"/>
      <c r="M21" s="83"/>
      <c r="N21" s="25" t="s">
        <v>315</v>
      </c>
      <c r="O21" s="30" t="str">
        <f t="shared" si="1"/>
        <v>⬜ Aguardando 3º contato</v>
      </c>
      <c r="P21" s="32" t="str">
        <f t="shared" si="2"/>
        <v/>
      </c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</row>
    <row r="22" spans="1:32" ht="15.75" customHeight="1" x14ac:dyDescent="0.2">
      <c r="A22" s="60"/>
      <c r="B22" s="224"/>
      <c r="C22" s="81">
        <v>0</v>
      </c>
      <c r="D22" s="81">
        <v>0</v>
      </c>
      <c r="E22" s="81">
        <v>1</v>
      </c>
      <c r="F22" s="25" t="s">
        <v>114</v>
      </c>
      <c r="G22" s="81">
        <v>11</v>
      </c>
      <c r="H22" s="81">
        <v>10</v>
      </c>
      <c r="I22" s="81"/>
      <c r="J22" s="82">
        <f t="shared" si="0"/>
        <v>0</v>
      </c>
      <c r="K22" s="83"/>
      <c r="L22" s="83"/>
      <c r="M22" s="83"/>
      <c r="N22" s="25" t="s">
        <v>588</v>
      </c>
      <c r="O22" s="30" t="str">
        <f t="shared" si="1"/>
        <v>⬜ Aguardando 3º contato</v>
      </c>
      <c r="P22" s="32" t="str">
        <f t="shared" si="2"/>
        <v/>
      </c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</row>
    <row r="23" spans="1:32" ht="15.75" customHeight="1" x14ac:dyDescent="0.2">
      <c r="A23" s="60"/>
      <c r="B23" s="227"/>
      <c r="C23" s="81">
        <v>0</v>
      </c>
      <c r="D23" s="81">
        <v>0</v>
      </c>
      <c r="E23" s="81">
        <v>1</v>
      </c>
      <c r="F23" s="25" t="s">
        <v>115</v>
      </c>
      <c r="G23" s="81">
        <v>7</v>
      </c>
      <c r="H23" s="81">
        <v>10</v>
      </c>
      <c r="I23" s="81"/>
      <c r="J23" s="82">
        <f t="shared" si="0"/>
        <v>0</v>
      </c>
      <c r="K23" s="83"/>
      <c r="L23" s="83"/>
      <c r="M23" s="83"/>
      <c r="N23" s="25" t="s">
        <v>588</v>
      </c>
      <c r="O23" s="30" t="str">
        <f t="shared" si="1"/>
        <v>⬜ Aguardando 3º contato</v>
      </c>
      <c r="P23" s="32" t="str">
        <f t="shared" si="2"/>
        <v/>
      </c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</row>
    <row r="24" spans="1:32" ht="15.75" customHeight="1" x14ac:dyDescent="0.2">
      <c r="A24" s="60"/>
      <c r="B24" s="226" t="s">
        <v>116</v>
      </c>
      <c r="C24" s="86">
        <v>1</v>
      </c>
      <c r="D24" s="86">
        <v>5</v>
      </c>
      <c r="E24" s="87">
        <v>5</v>
      </c>
      <c r="F24" s="35" t="s">
        <v>454</v>
      </c>
      <c r="G24" s="87">
        <v>9</v>
      </c>
      <c r="H24" s="87">
        <v>50</v>
      </c>
      <c r="I24" s="87"/>
      <c r="J24" s="88">
        <f t="shared" si="0"/>
        <v>0</v>
      </c>
      <c r="K24" s="89"/>
      <c r="L24" s="89"/>
      <c r="M24" s="89"/>
      <c r="N24" s="35" t="s">
        <v>313</v>
      </c>
      <c r="O24" s="40" t="str">
        <f t="shared" si="1"/>
        <v>⬜ Aguardando 3º contato</v>
      </c>
      <c r="P24" s="41" t="str">
        <f t="shared" si="2"/>
        <v/>
      </c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</row>
    <row r="25" spans="1:32" ht="15.75" customHeight="1" x14ac:dyDescent="0.2">
      <c r="A25" s="60"/>
      <c r="B25" s="224"/>
      <c r="C25" s="93">
        <v>7</v>
      </c>
      <c r="D25" s="93">
        <v>14</v>
      </c>
      <c r="E25" s="87">
        <v>5</v>
      </c>
      <c r="F25" s="35" t="s">
        <v>455</v>
      </c>
      <c r="G25" s="87">
        <v>44</v>
      </c>
      <c r="H25" s="87">
        <v>50</v>
      </c>
      <c r="I25" s="87"/>
      <c r="J25" s="88">
        <f t="shared" si="0"/>
        <v>0</v>
      </c>
      <c r="K25" s="89"/>
      <c r="L25" s="89"/>
      <c r="M25" s="89"/>
      <c r="N25" s="35" t="s">
        <v>602</v>
      </c>
      <c r="O25" s="40" t="str">
        <f t="shared" si="1"/>
        <v>⬜ Aguardando 3º contato</v>
      </c>
      <c r="P25" s="41" t="str">
        <f t="shared" si="2"/>
        <v/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</row>
    <row r="26" spans="1:32" ht="15.75" customHeight="1" x14ac:dyDescent="0.2">
      <c r="A26" s="60"/>
      <c r="B26" s="224"/>
      <c r="C26" s="93">
        <v>10</v>
      </c>
      <c r="D26" s="93">
        <v>8</v>
      </c>
      <c r="E26" s="87">
        <v>5</v>
      </c>
      <c r="F26" s="35" t="s">
        <v>456</v>
      </c>
      <c r="G26" s="87">
        <v>63</v>
      </c>
      <c r="H26" s="87">
        <v>50</v>
      </c>
      <c r="I26" s="87"/>
      <c r="J26" s="88">
        <f t="shared" si="0"/>
        <v>0</v>
      </c>
      <c r="K26" s="89"/>
      <c r="L26" s="89"/>
      <c r="M26" s="89"/>
      <c r="N26" s="35" t="s">
        <v>312</v>
      </c>
      <c r="O26" s="40" t="str">
        <f t="shared" si="1"/>
        <v>⬜ Aguardando 3º contato</v>
      </c>
      <c r="P26" s="41" t="str">
        <f t="shared" si="2"/>
        <v/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</row>
    <row r="27" spans="1:32" ht="15.75" customHeight="1" x14ac:dyDescent="0.2">
      <c r="A27" s="60"/>
      <c r="B27" s="224"/>
      <c r="C27" s="93">
        <v>3</v>
      </c>
      <c r="D27" s="93">
        <v>3</v>
      </c>
      <c r="E27" s="87">
        <v>5</v>
      </c>
      <c r="F27" s="35" t="s">
        <v>457</v>
      </c>
      <c r="G27" s="87">
        <v>44</v>
      </c>
      <c r="H27" s="87">
        <v>50</v>
      </c>
      <c r="I27" s="87"/>
      <c r="J27" s="88">
        <f t="shared" si="0"/>
        <v>0</v>
      </c>
      <c r="K27" s="89"/>
      <c r="L27" s="89"/>
      <c r="M27" s="89"/>
      <c r="N27" s="35" t="s">
        <v>591</v>
      </c>
      <c r="O27" s="40" t="str">
        <f t="shared" si="1"/>
        <v>⬜ Aguardando 3º contato</v>
      </c>
      <c r="P27" s="41" t="str">
        <f t="shared" si="2"/>
        <v/>
      </c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</row>
    <row r="28" spans="1:32" ht="15.75" customHeight="1" x14ac:dyDescent="0.2">
      <c r="A28" s="60"/>
      <c r="B28" s="224"/>
      <c r="C28" s="93">
        <v>4</v>
      </c>
      <c r="D28" s="93">
        <v>10</v>
      </c>
      <c r="E28" s="87">
        <v>5</v>
      </c>
      <c r="F28" s="35" t="s">
        <v>458</v>
      </c>
      <c r="G28" s="87">
        <v>25</v>
      </c>
      <c r="H28" s="87">
        <f>37+14</f>
        <v>51</v>
      </c>
      <c r="I28" s="87">
        <f>29+13</f>
        <v>42</v>
      </c>
      <c r="J28" s="88">
        <f t="shared" si="0"/>
        <v>0.82352941176470584</v>
      </c>
      <c r="K28" s="89">
        <v>46085</v>
      </c>
      <c r="L28" s="89">
        <v>46091</v>
      </c>
      <c r="M28" s="89">
        <v>46174</v>
      </c>
      <c r="N28" s="35" t="s">
        <v>308</v>
      </c>
      <c r="O28" s="40" t="str">
        <f t="shared" si="1"/>
        <v>🔵 Rever em 16/07/2026</v>
      </c>
      <c r="P28" s="41" t="str">
        <f t="shared" si="2"/>
        <v/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</row>
    <row r="29" spans="1:32" ht="15.75" customHeight="1" x14ac:dyDescent="0.2">
      <c r="A29" s="60"/>
      <c r="B29" s="224"/>
      <c r="C29" s="93">
        <v>0</v>
      </c>
      <c r="D29" s="93">
        <v>6</v>
      </c>
      <c r="E29" s="87">
        <v>4</v>
      </c>
      <c r="F29" s="35" t="s">
        <v>459</v>
      </c>
      <c r="G29" s="87">
        <v>25</v>
      </c>
      <c r="H29" s="87">
        <v>40</v>
      </c>
      <c r="I29" s="87"/>
      <c r="J29" s="88">
        <f t="shared" si="0"/>
        <v>0</v>
      </c>
      <c r="K29" s="89"/>
      <c r="L29" s="89"/>
      <c r="M29" s="89"/>
      <c r="N29" s="35" t="s">
        <v>365</v>
      </c>
      <c r="O29" s="40" t="str">
        <f t="shared" si="1"/>
        <v>⬜ Aguardando 3º contato</v>
      </c>
      <c r="P29" s="41" t="str">
        <f t="shared" si="2"/>
        <v/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</row>
    <row r="30" spans="1:32" ht="15.75" customHeight="1" x14ac:dyDescent="0.2">
      <c r="A30" s="60"/>
      <c r="B30" s="224"/>
      <c r="C30" s="93">
        <v>2</v>
      </c>
      <c r="D30" s="93">
        <v>6</v>
      </c>
      <c r="E30" s="87">
        <v>4</v>
      </c>
      <c r="F30" s="35" t="s">
        <v>460</v>
      </c>
      <c r="G30" s="87">
        <v>37</v>
      </c>
      <c r="H30" s="87">
        <v>40</v>
      </c>
      <c r="I30" s="87"/>
      <c r="J30" s="88">
        <f t="shared" si="0"/>
        <v>0</v>
      </c>
      <c r="K30" s="89"/>
      <c r="L30" s="89"/>
      <c r="M30" s="89"/>
      <c r="N30" s="35" t="s">
        <v>603</v>
      </c>
      <c r="O30" s="40" t="str">
        <f t="shared" si="1"/>
        <v>⬜ Aguardando 3º contato</v>
      </c>
      <c r="P30" s="41" t="str">
        <f t="shared" si="2"/>
        <v/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</row>
    <row r="31" spans="1:32" ht="15.75" customHeight="1" x14ac:dyDescent="0.2">
      <c r="A31" s="60"/>
      <c r="B31" s="224"/>
      <c r="C31" s="93">
        <v>0</v>
      </c>
      <c r="D31" s="93">
        <v>0</v>
      </c>
      <c r="E31" s="87">
        <v>2</v>
      </c>
      <c r="F31" s="35" t="s">
        <v>117</v>
      </c>
      <c r="G31" s="87">
        <v>12</v>
      </c>
      <c r="H31" s="87">
        <v>20</v>
      </c>
      <c r="I31" s="87"/>
      <c r="J31" s="88">
        <f t="shared" si="0"/>
        <v>0</v>
      </c>
      <c r="K31" s="89"/>
      <c r="L31" s="89"/>
      <c r="M31" s="89"/>
      <c r="N31" s="35" t="s">
        <v>588</v>
      </c>
      <c r="O31" s="40" t="str">
        <f t="shared" si="1"/>
        <v>⬜ Aguardando 3º contato</v>
      </c>
      <c r="P31" s="41" t="str">
        <f t="shared" si="2"/>
        <v/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</row>
    <row r="32" spans="1:32" ht="15.75" customHeight="1" x14ac:dyDescent="0.2">
      <c r="A32" s="60"/>
      <c r="B32" s="224"/>
      <c r="C32" s="93">
        <v>0</v>
      </c>
      <c r="D32" s="93">
        <v>1</v>
      </c>
      <c r="E32" s="87">
        <v>1</v>
      </c>
      <c r="F32" s="35" t="s">
        <v>461</v>
      </c>
      <c r="G32" s="87">
        <v>14</v>
      </c>
      <c r="H32" s="87">
        <v>10</v>
      </c>
      <c r="I32" s="87"/>
      <c r="J32" s="88">
        <f t="shared" si="0"/>
        <v>0</v>
      </c>
      <c r="K32" s="89"/>
      <c r="L32" s="89"/>
      <c r="M32" s="89"/>
      <c r="N32" s="35" t="s">
        <v>360</v>
      </c>
      <c r="O32" s="40" t="str">
        <f t="shared" si="1"/>
        <v>⬜ Aguardando 3º contato</v>
      </c>
      <c r="P32" s="41" t="str">
        <f t="shared" si="2"/>
        <v/>
      </c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</row>
    <row r="33" spans="1:32" ht="15.75" customHeight="1" x14ac:dyDescent="0.2">
      <c r="A33" s="60"/>
      <c r="B33" s="243"/>
      <c r="C33" s="93">
        <v>0</v>
      </c>
      <c r="D33" s="93">
        <v>0</v>
      </c>
      <c r="E33" s="87"/>
      <c r="F33" s="35" t="s">
        <v>462</v>
      </c>
      <c r="G33" s="87"/>
      <c r="H33" s="87"/>
      <c r="I33" s="87"/>
      <c r="J33" s="88"/>
      <c r="K33" s="89"/>
      <c r="L33" s="89"/>
      <c r="M33" s="89"/>
      <c r="N33" s="35" t="s">
        <v>588</v>
      </c>
      <c r="O33" s="40"/>
      <c r="P33" s="41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</row>
    <row r="34" spans="1:32" ht="15.75" customHeight="1" x14ac:dyDescent="0.2">
      <c r="A34" s="60"/>
      <c r="B34" s="243"/>
      <c r="C34" s="93">
        <v>0</v>
      </c>
      <c r="D34" s="93">
        <v>0</v>
      </c>
      <c r="E34" s="87"/>
      <c r="F34" s="35" t="s">
        <v>463</v>
      </c>
      <c r="G34" s="87"/>
      <c r="H34" s="87"/>
      <c r="I34" s="87"/>
      <c r="J34" s="88"/>
      <c r="K34" s="89"/>
      <c r="L34" s="89"/>
      <c r="M34" s="89"/>
      <c r="N34" s="35" t="s">
        <v>588</v>
      </c>
      <c r="O34" s="40"/>
      <c r="P34" s="41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</row>
    <row r="35" spans="1:32" ht="15.75" customHeight="1" x14ac:dyDescent="0.2">
      <c r="A35" s="60"/>
      <c r="B35" s="227"/>
      <c r="C35" s="90">
        <v>0</v>
      </c>
      <c r="D35" s="90">
        <v>1</v>
      </c>
      <c r="E35" s="87">
        <v>1</v>
      </c>
      <c r="F35" s="35" t="s">
        <v>118</v>
      </c>
      <c r="G35" s="87">
        <v>11</v>
      </c>
      <c r="H35" s="87">
        <v>10</v>
      </c>
      <c r="I35" s="87"/>
      <c r="J35" s="88">
        <f t="shared" si="0"/>
        <v>0</v>
      </c>
      <c r="K35" s="89"/>
      <c r="L35" s="89"/>
      <c r="M35" s="89"/>
      <c r="N35" s="35" t="s">
        <v>364</v>
      </c>
      <c r="O35" s="40" t="str">
        <f t="shared" si="1"/>
        <v>⬜ Aguardando 3º contato</v>
      </c>
      <c r="P35" s="41" t="str">
        <f t="shared" si="2"/>
        <v/>
      </c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</row>
    <row r="36" spans="1:32" ht="15.75" customHeight="1" x14ac:dyDescent="0.2">
      <c r="A36" s="60"/>
      <c r="B36" s="223" t="s">
        <v>119</v>
      </c>
      <c r="C36" s="81">
        <v>4</v>
      </c>
      <c r="D36" s="81">
        <v>4</v>
      </c>
      <c r="E36" s="81">
        <v>4</v>
      </c>
      <c r="F36" s="25" t="s">
        <v>464</v>
      </c>
      <c r="G36" s="81">
        <v>44</v>
      </c>
      <c r="H36" s="81">
        <v>40</v>
      </c>
      <c r="I36" s="81">
        <v>31</v>
      </c>
      <c r="J36" s="82">
        <f t="shared" si="0"/>
        <v>0.77500000000000002</v>
      </c>
      <c r="K36" s="83">
        <v>46141</v>
      </c>
      <c r="L36" s="83">
        <v>46153</v>
      </c>
      <c r="M36" s="83">
        <v>46164</v>
      </c>
      <c r="N36" s="25" t="s">
        <v>604</v>
      </c>
      <c r="O36" s="30" t="str">
        <f t="shared" si="1"/>
        <v>🟡 Rever em 21/06/2026</v>
      </c>
      <c r="P36" s="32" t="str">
        <f t="shared" si="2"/>
        <v>📌 Atenção: Alta incidência</v>
      </c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</row>
    <row r="37" spans="1:32" ht="15.75" customHeight="1" x14ac:dyDescent="0.2">
      <c r="A37" s="60"/>
      <c r="B37" s="224"/>
      <c r="C37" s="81">
        <v>1</v>
      </c>
      <c r="D37" s="81">
        <v>1</v>
      </c>
      <c r="E37" s="81">
        <v>3</v>
      </c>
      <c r="F37" s="25" t="s">
        <v>324</v>
      </c>
      <c r="G37" s="81">
        <v>57</v>
      </c>
      <c r="H37" s="81">
        <v>30</v>
      </c>
      <c r="I37" s="81"/>
      <c r="J37" s="82">
        <f t="shared" si="0"/>
        <v>0</v>
      </c>
      <c r="K37" s="83"/>
      <c r="L37" s="83"/>
      <c r="M37" s="83"/>
      <c r="N37" s="25" t="s">
        <v>591</v>
      </c>
      <c r="O37" s="30" t="str">
        <f t="shared" si="1"/>
        <v>⬜ Aguardando 3º contato</v>
      </c>
      <c r="P37" s="32" t="str">
        <f t="shared" si="2"/>
        <v/>
      </c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</row>
    <row r="38" spans="1:32" ht="15.75" customHeight="1" x14ac:dyDescent="0.2">
      <c r="A38" s="60"/>
      <c r="B38" s="224"/>
      <c r="C38" s="81">
        <v>3</v>
      </c>
      <c r="D38" s="81">
        <v>3</v>
      </c>
      <c r="E38" s="81">
        <v>5</v>
      </c>
      <c r="F38" s="25" t="s">
        <v>465</v>
      </c>
      <c r="G38" s="81">
        <v>42</v>
      </c>
      <c r="H38" s="81">
        <v>50</v>
      </c>
      <c r="I38" s="81"/>
      <c r="J38" s="82">
        <f t="shared" si="0"/>
        <v>0</v>
      </c>
      <c r="K38" s="83"/>
      <c r="L38" s="83"/>
      <c r="M38" s="83"/>
      <c r="N38" s="25" t="s">
        <v>328</v>
      </c>
      <c r="O38" s="30" t="str">
        <f t="shared" si="1"/>
        <v>⬜ Aguardando 3º contato</v>
      </c>
      <c r="P38" s="32" t="str">
        <f t="shared" si="2"/>
        <v/>
      </c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</row>
    <row r="39" spans="1:32" ht="15.75" customHeight="1" x14ac:dyDescent="0.2">
      <c r="A39" s="60"/>
      <c r="B39" s="224"/>
      <c r="C39" s="81">
        <v>4</v>
      </c>
      <c r="D39" s="81">
        <v>7</v>
      </c>
      <c r="E39" s="81">
        <v>5</v>
      </c>
      <c r="F39" s="25" t="s">
        <v>466</v>
      </c>
      <c r="G39" s="81">
        <v>40</v>
      </c>
      <c r="H39" s="81">
        <v>50</v>
      </c>
      <c r="I39" s="81"/>
      <c r="J39" s="82">
        <f t="shared" si="0"/>
        <v>0</v>
      </c>
      <c r="K39" s="83"/>
      <c r="L39" s="83"/>
      <c r="M39" s="83"/>
      <c r="N39" s="25" t="s">
        <v>325</v>
      </c>
      <c r="O39" s="30" t="str">
        <f t="shared" si="1"/>
        <v>⬜ Aguardando 3º contato</v>
      </c>
      <c r="P39" s="32" t="str">
        <f t="shared" si="2"/>
        <v/>
      </c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</row>
    <row r="40" spans="1:32" ht="15.75" customHeight="1" x14ac:dyDescent="0.2">
      <c r="A40" s="60"/>
      <c r="B40" s="224"/>
      <c r="C40" s="81">
        <v>1</v>
      </c>
      <c r="D40" s="81">
        <v>2</v>
      </c>
      <c r="E40" s="81">
        <v>5</v>
      </c>
      <c r="F40" s="25" t="s">
        <v>120</v>
      </c>
      <c r="G40" s="81">
        <v>33</v>
      </c>
      <c r="H40" s="81">
        <v>50</v>
      </c>
      <c r="I40" s="81"/>
      <c r="J40" s="82">
        <f t="shared" si="0"/>
        <v>0</v>
      </c>
      <c r="K40" s="83"/>
      <c r="L40" s="83"/>
      <c r="M40" s="83"/>
      <c r="N40" s="25" t="s">
        <v>320</v>
      </c>
      <c r="O40" s="30" t="str">
        <f t="shared" si="1"/>
        <v>⬜ Aguardando 3º contato</v>
      </c>
      <c r="P40" s="32" t="str">
        <f t="shared" si="2"/>
        <v/>
      </c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</row>
    <row r="41" spans="1:32" ht="15.75" customHeight="1" x14ac:dyDescent="0.2">
      <c r="A41" s="60"/>
      <c r="B41" s="224"/>
      <c r="C41" s="81">
        <v>6</v>
      </c>
      <c r="D41" s="81">
        <v>15</v>
      </c>
      <c r="E41" s="81">
        <v>5</v>
      </c>
      <c r="F41" s="25" t="s">
        <v>467</v>
      </c>
      <c r="G41" s="81">
        <v>81</v>
      </c>
      <c r="H41" s="81">
        <v>50</v>
      </c>
      <c r="I41" s="81"/>
      <c r="J41" s="82">
        <f t="shared" si="0"/>
        <v>0</v>
      </c>
      <c r="K41" s="83"/>
      <c r="L41" s="83"/>
      <c r="M41" s="83"/>
      <c r="N41" s="25" t="s">
        <v>605</v>
      </c>
      <c r="O41" s="30" t="str">
        <f t="shared" si="1"/>
        <v>⬜ Aguardando 3º contato</v>
      </c>
      <c r="P41" s="32" t="str">
        <f t="shared" si="2"/>
        <v/>
      </c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</row>
    <row r="42" spans="1:32" ht="15.75" customHeight="1" x14ac:dyDescent="0.2">
      <c r="A42" s="60"/>
      <c r="B42" s="224"/>
      <c r="C42" s="81">
        <v>5</v>
      </c>
      <c r="D42" s="81">
        <v>1</v>
      </c>
      <c r="E42" s="81">
        <v>5</v>
      </c>
      <c r="F42" s="25" t="s">
        <v>468</v>
      </c>
      <c r="G42" s="81">
        <v>47</v>
      </c>
      <c r="H42" s="81">
        <v>50</v>
      </c>
      <c r="I42" s="81"/>
      <c r="J42" s="82">
        <f t="shared" si="0"/>
        <v>0</v>
      </c>
      <c r="K42" s="83"/>
      <c r="L42" s="83"/>
      <c r="M42" s="83"/>
      <c r="N42" s="25" t="s">
        <v>606</v>
      </c>
      <c r="O42" s="30" t="str">
        <f t="shared" si="1"/>
        <v>⬜ Aguardando 3º contato</v>
      </c>
      <c r="P42" s="32" t="str">
        <f t="shared" si="2"/>
        <v/>
      </c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</row>
    <row r="43" spans="1:32" ht="15.75" customHeight="1" x14ac:dyDescent="0.2">
      <c r="A43" s="60"/>
      <c r="B43" s="224"/>
      <c r="C43" s="81">
        <v>1</v>
      </c>
      <c r="D43" s="81">
        <v>4</v>
      </c>
      <c r="E43" s="81">
        <v>5</v>
      </c>
      <c r="F43" s="25" t="s">
        <v>469</v>
      </c>
      <c r="G43" s="81">
        <v>23</v>
      </c>
      <c r="H43" s="81">
        <v>50</v>
      </c>
      <c r="I43" s="81"/>
      <c r="J43" s="82">
        <f t="shared" si="0"/>
        <v>0</v>
      </c>
      <c r="K43" s="83"/>
      <c r="L43" s="83"/>
      <c r="M43" s="83"/>
      <c r="N43" s="25" t="s">
        <v>327</v>
      </c>
      <c r="O43" s="30" t="str">
        <f t="shared" si="1"/>
        <v>⬜ Aguardando 3º contato</v>
      </c>
      <c r="P43" s="32" t="str">
        <f t="shared" si="2"/>
        <v/>
      </c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</row>
    <row r="44" spans="1:32" ht="15.75" customHeight="1" x14ac:dyDescent="0.2">
      <c r="A44" s="60"/>
      <c r="B44" s="224"/>
      <c r="C44" s="81">
        <v>5</v>
      </c>
      <c r="D44" s="81">
        <v>0</v>
      </c>
      <c r="E44" s="81">
        <v>3</v>
      </c>
      <c r="F44" s="25" t="s">
        <v>470</v>
      </c>
      <c r="G44" s="81">
        <v>25</v>
      </c>
      <c r="H44" s="81">
        <v>30</v>
      </c>
      <c r="I44" s="81"/>
      <c r="J44" s="82">
        <f t="shared" si="0"/>
        <v>0</v>
      </c>
      <c r="K44" s="83"/>
      <c r="L44" s="83"/>
      <c r="M44" s="83"/>
      <c r="N44" s="25" t="s">
        <v>321</v>
      </c>
      <c r="O44" s="30" t="str">
        <f t="shared" si="1"/>
        <v>⬜ Aguardando 3º contato</v>
      </c>
      <c r="P44" s="32" t="str">
        <f t="shared" si="2"/>
        <v/>
      </c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</row>
    <row r="45" spans="1:32" ht="15.75" customHeight="1" x14ac:dyDescent="0.2">
      <c r="A45" s="60"/>
      <c r="B45" s="224"/>
      <c r="C45" s="81">
        <v>1</v>
      </c>
      <c r="D45" s="81">
        <v>1</v>
      </c>
      <c r="E45" s="81">
        <v>3</v>
      </c>
      <c r="F45" s="25" t="s">
        <v>471</v>
      </c>
      <c r="G45" s="81">
        <v>28</v>
      </c>
      <c r="H45" s="81">
        <v>30</v>
      </c>
      <c r="I45" s="81"/>
      <c r="J45" s="82">
        <f t="shared" si="0"/>
        <v>0</v>
      </c>
      <c r="K45" s="83"/>
      <c r="L45" s="83"/>
      <c r="M45" s="83"/>
      <c r="N45" s="25" t="s">
        <v>326</v>
      </c>
      <c r="O45" s="30" t="str">
        <f t="shared" si="1"/>
        <v>⬜ Aguardando 3º contato</v>
      </c>
      <c r="P45" s="32" t="str">
        <f t="shared" si="2"/>
        <v/>
      </c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</row>
    <row r="46" spans="1:32" ht="15.75" customHeight="1" x14ac:dyDescent="0.2">
      <c r="A46" s="60"/>
      <c r="B46" s="224"/>
      <c r="C46" s="81">
        <v>0</v>
      </c>
      <c r="D46" s="81">
        <v>0</v>
      </c>
      <c r="E46" s="81">
        <v>3</v>
      </c>
      <c r="F46" s="25" t="s">
        <v>121</v>
      </c>
      <c r="G46" s="81">
        <v>54</v>
      </c>
      <c r="H46" s="81">
        <v>30</v>
      </c>
      <c r="I46" s="81"/>
      <c r="J46" s="82">
        <f t="shared" si="0"/>
        <v>0</v>
      </c>
      <c r="K46" s="83"/>
      <c r="L46" s="83"/>
      <c r="M46" s="83"/>
      <c r="N46" s="25" t="s">
        <v>588</v>
      </c>
      <c r="O46" s="30" t="str">
        <f t="shared" si="1"/>
        <v>⬜ Aguardando 3º contato</v>
      </c>
      <c r="P46" s="32" t="str">
        <f t="shared" si="2"/>
        <v/>
      </c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</row>
    <row r="47" spans="1:32" ht="15.75" customHeight="1" x14ac:dyDescent="0.2">
      <c r="A47" s="60"/>
      <c r="B47" s="224"/>
      <c r="C47" s="81">
        <v>0</v>
      </c>
      <c r="D47" s="81">
        <v>0</v>
      </c>
      <c r="E47" s="81">
        <v>2</v>
      </c>
      <c r="F47" s="25" t="s">
        <v>122</v>
      </c>
      <c r="G47" s="81">
        <v>11</v>
      </c>
      <c r="H47" s="81">
        <v>20</v>
      </c>
      <c r="I47" s="81"/>
      <c r="J47" s="82">
        <f t="shared" si="0"/>
        <v>0</v>
      </c>
      <c r="K47" s="83"/>
      <c r="L47" s="83"/>
      <c r="M47" s="83"/>
      <c r="N47" s="25" t="s">
        <v>588</v>
      </c>
      <c r="O47" s="30" t="str">
        <f t="shared" si="1"/>
        <v>⬜ Aguardando 3º contato</v>
      </c>
      <c r="P47" s="32" t="str">
        <f t="shared" si="2"/>
        <v/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</row>
    <row r="48" spans="1:32" ht="15.75" customHeight="1" x14ac:dyDescent="0.2">
      <c r="A48" s="60"/>
      <c r="B48" s="224"/>
      <c r="C48" s="81">
        <v>1</v>
      </c>
      <c r="D48" s="81">
        <v>1</v>
      </c>
      <c r="E48" s="81">
        <v>3</v>
      </c>
      <c r="F48" s="25" t="s">
        <v>123</v>
      </c>
      <c r="G48" s="81">
        <v>24</v>
      </c>
      <c r="H48" s="81">
        <v>30</v>
      </c>
      <c r="I48" s="81"/>
      <c r="J48" s="82">
        <f t="shared" si="0"/>
        <v>0</v>
      </c>
      <c r="K48" s="83"/>
      <c r="L48" s="83"/>
      <c r="M48" s="83"/>
      <c r="N48" s="25" t="s">
        <v>322</v>
      </c>
      <c r="O48" s="30" t="str">
        <f t="shared" si="1"/>
        <v>⬜ Aguardando 3º contato</v>
      </c>
      <c r="P48" s="32" t="str">
        <f t="shared" si="2"/>
        <v/>
      </c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</row>
    <row r="49" spans="1:32" ht="15.75" customHeight="1" x14ac:dyDescent="0.2">
      <c r="A49" s="60"/>
      <c r="B49" s="227"/>
      <c r="C49" s="81">
        <v>7</v>
      </c>
      <c r="D49" s="81">
        <v>3</v>
      </c>
      <c r="E49" s="81">
        <v>2</v>
      </c>
      <c r="F49" s="25" t="s">
        <v>472</v>
      </c>
      <c r="G49" s="81">
        <v>22</v>
      </c>
      <c r="H49" s="81">
        <v>20</v>
      </c>
      <c r="I49" s="81"/>
      <c r="J49" s="82">
        <f t="shared" si="0"/>
        <v>0</v>
      </c>
      <c r="K49" s="83"/>
      <c r="L49" s="83"/>
      <c r="M49" s="83"/>
      <c r="N49" s="25" t="s">
        <v>323</v>
      </c>
      <c r="O49" s="30" t="str">
        <f t="shared" si="1"/>
        <v>⬜ Aguardando 3º contato</v>
      </c>
      <c r="P49" s="32" t="str">
        <f t="shared" si="2"/>
        <v/>
      </c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</row>
    <row r="50" spans="1:32" ht="15.75" customHeight="1" x14ac:dyDescent="0.2">
      <c r="A50" s="60"/>
      <c r="B50" s="226" t="s">
        <v>124</v>
      </c>
      <c r="C50" s="91">
        <v>3</v>
      </c>
      <c r="D50" s="91">
        <v>18</v>
      </c>
      <c r="E50" s="91">
        <v>4</v>
      </c>
      <c r="F50" s="34" t="s">
        <v>473</v>
      </c>
      <c r="G50" s="87">
        <v>21</v>
      </c>
      <c r="H50" s="87">
        <v>40</v>
      </c>
      <c r="I50" s="87"/>
      <c r="J50" s="88">
        <f t="shared" si="0"/>
        <v>0</v>
      </c>
      <c r="K50" s="89"/>
      <c r="L50" s="89"/>
      <c r="M50" s="89"/>
      <c r="N50" s="35" t="s">
        <v>224</v>
      </c>
      <c r="O50" s="40" t="str">
        <f t="shared" si="1"/>
        <v>⬜ Aguardando 3º contato</v>
      </c>
      <c r="P50" s="41" t="str">
        <f t="shared" si="2"/>
        <v/>
      </c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</row>
    <row r="51" spans="1:32" ht="15.75" customHeight="1" x14ac:dyDescent="0.2">
      <c r="A51" s="60"/>
      <c r="B51" s="224"/>
      <c r="C51" s="87">
        <v>1</v>
      </c>
      <c r="D51" s="86">
        <v>2</v>
      </c>
      <c r="E51" s="87">
        <v>4</v>
      </c>
      <c r="F51" s="35" t="s">
        <v>474</v>
      </c>
      <c r="G51" s="87">
        <v>66</v>
      </c>
      <c r="H51" s="87">
        <v>40</v>
      </c>
      <c r="I51" s="87"/>
      <c r="J51" s="88">
        <f t="shared" si="0"/>
        <v>0</v>
      </c>
      <c r="K51" s="89"/>
      <c r="L51" s="89"/>
      <c r="M51" s="89"/>
      <c r="N51" s="35" t="s">
        <v>310</v>
      </c>
      <c r="O51" s="40" t="str">
        <f t="shared" si="1"/>
        <v>⬜ Aguardando 3º contato</v>
      </c>
      <c r="P51" s="41" t="str">
        <f t="shared" si="2"/>
        <v/>
      </c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</row>
    <row r="52" spans="1:32" ht="15.75" customHeight="1" x14ac:dyDescent="0.2">
      <c r="A52" s="60"/>
      <c r="B52" s="224"/>
      <c r="C52" s="87">
        <v>0</v>
      </c>
      <c r="D52" s="93">
        <v>2</v>
      </c>
      <c r="E52" s="87">
        <v>3</v>
      </c>
      <c r="F52" s="35" t="s">
        <v>475</v>
      </c>
      <c r="G52" s="87">
        <v>15</v>
      </c>
      <c r="H52" s="87">
        <v>30</v>
      </c>
      <c r="I52" s="87"/>
      <c r="J52" s="88">
        <f t="shared" si="0"/>
        <v>0</v>
      </c>
      <c r="K52" s="89"/>
      <c r="L52" s="89"/>
      <c r="M52" s="89"/>
      <c r="N52" s="35" t="s">
        <v>335</v>
      </c>
      <c r="O52" s="40" t="str">
        <f t="shared" si="1"/>
        <v>⬜ Aguardando 3º contato</v>
      </c>
      <c r="P52" s="41" t="str">
        <f t="shared" si="2"/>
        <v/>
      </c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</row>
    <row r="53" spans="1:32" ht="15.75" customHeight="1" x14ac:dyDescent="0.2">
      <c r="A53" s="60"/>
      <c r="B53" s="227"/>
      <c r="C53" s="87">
        <v>0</v>
      </c>
      <c r="D53" s="90">
        <v>0</v>
      </c>
      <c r="E53" s="87">
        <v>3</v>
      </c>
      <c r="F53" s="35" t="s">
        <v>476</v>
      </c>
      <c r="G53" s="87">
        <v>15</v>
      </c>
      <c r="H53" s="87">
        <v>30</v>
      </c>
      <c r="I53" s="87"/>
      <c r="J53" s="88">
        <f t="shared" si="0"/>
        <v>0</v>
      </c>
      <c r="K53" s="89"/>
      <c r="L53" s="89"/>
      <c r="M53" s="89"/>
      <c r="N53" s="35" t="s">
        <v>588</v>
      </c>
      <c r="O53" s="40" t="str">
        <f t="shared" si="1"/>
        <v>⬜ Aguardando 3º contato</v>
      </c>
      <c r="P53" s="41" t="str">
        <f t="shared" si="2"/>
        <v/>
      </c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</row>
    <row r="54" spans="1:32" ht="15.75" customHeight="1" x14ac:dyDescent="0.2">
      <c r="A54" s="60"/>
      <c r="B54" s="244" t="s">
        <v>125</v>
      </c>
      <c r="C54" s="81">
        <v>6</v>
      </c>
      <c r="D54" s="81">
        <v>9</v>
      </c>
      <c r="E54" s="81">
        <v>5</v>
      </c>
      <c r="F54" s="25" t="s">
        <v>477</v>
      </c>
      <c r="G54" s="81">
        <v>28</v>
      </c>
      <c r="H54" s="81">
        <v>28</v>
      </c>
      <c r="I54" s="81">
        <v>15</v>
      </c>
      <c r="J54" s="82">
        <f>IF(OR(I54="",I54=0),0,I54/H54)</f>
        <v>0.5357142857142857</v>
      </c>
      <c r="K54" s="83">
        <v>46091</v>
      </c>
      <c r="L54" s="83">
        <v>46130</v>
      </c>
      <c r="M54" s="83"/>
      <c r="N54" s="25" t="s">
        <v>607</v>
      </c>
      <c r="O54" s="30" t="str">
        <f>IF(OR(K54="",L54="",M54=""),"⬜ Aguardando 3º contato",IF(J54=0,"⬜ Sem acertos registrados",IF(J54&gt;0.9,"✅ Rever em "&amp;TEXT(M54+60,"dd/mm/aaaa"),IF(J54&gt;0.8001,"🔵 Rever em "&amp;TEXT(M54+45,"dd/mm/aaaa"),IF(J54&gt;0.7001,"🟡 Rever em "&amp;TEXT(M54+30,"dd/mm/aaaa"),"🔴 Rever em "&amp;TEXT(M54+7,"dd/mm/aaaa"))))))</f>
        <v>⬜ Aguardando 3º contato</v>
      </c>
      <c r="P54" s="32" t="str">
        <f>IF(J54=0,"",IF(AND(J54&lt;0.7,MAX(C54,D54)&gt;=4),"🚨 CRÍTICO: Alta incidência + baixo aproveitamento",IF(J54&lt;0.7,"⚠️ Baixo aproveitamento - revisar urgente",IF(AND(J54&lt;0.8,MAX(C54,D54)&gt;=4),"📌 Atenção: Alta incidência",""))))</f>
        <v>🚨 CRÍTICO: Alta incidência + baixo aproveitamento</v>
      </c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</row>
    <row r="55" spans="1:32" ht="15.75" customHeight="1" x14ac:dyDescent="0.2">
      <c r="A55" s="60"/>
      <c r="B55" s="245"/>
      <c r="C55">
        <v>0</v>
      </c>
      <c r="D55">
        <v>1</v>
      </c>
      <c r="F55" s="25" t="s">
        <v>478</v>
      </c>
      <c r="N55" t="s">
        <v>363</v>
      </c>
      <c r="O55" s="30" t="str">
        <f>IF(OR(K55="",L55="",M55=""),"⬜ Aguardando 3º contato",IF(J55=0,"⬜ Sem acertos registrados",IF(J55&gt;0.9,"✅ Rever em "&amp;TEXT(M55+60,"dd/mm/aaaa"),IF(J55&gt;0.8001,"🔵 Rever em "&amp;TEXT(M55+45,"dd/mm/aaaa"),IF(J55&gt;0.7001,"🟡 Rever em "&amp;TEXT(M55+30,"dd/mm/aaaa"),"🔴 Rever em "&amp;TEXT(M55+7,"dd/mm/aaaa"))))))</f>
        <v>⬜ Aguardando 3º contato</v>
      </c>
      <c r="P55" s="32" t="str">
        <f>IF(J55=0,"",IF(AND(J55&lt;0.7,MAX(C55,D55)&gt;=4),"🚨 CRÍTICO: Alta incidência + baixo aproveitamento",IF(J55&lt;0.7,"⚠️ Baixo aproveitamento - revisar urgente",IF(AND(J55&lt;0.8,MAX(C55,D55)&gt;=4),"📌 Atenção: Alta incidência",""))))</f>
        <v/>
      </c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</row>
    <row r="56" spans="1:32" ht="15.75" customHeight="1" x14ac:dyDescent="0.2">
      <c r="A56" s="60"/>
      <c r="B56" s="226" t="s">
        <v>126</v>
      </c>
      <c r="C56" s="87">
        <v>2</v>
      </c>
      <c r="D56" s="87">
        <v>0</v>
      </c>
      <c r="E56" s="87">
        <v>4</v>
      </c>
      <c r="F56" s="35" t="s">
        <v>479</v>
      </c>
      <c r="G56" s="87">
        <v>37</v>
      </c>
      <c r="H56" s="87">
        <v>40</v>
      </c>
      <c r="I56" s="87"/>
      <c r="J56" s="88">
        <f t="shared" si="0"/>
        <v>0</v>
      </c>
      <c r="K56" s="89"/>
      <c r="L56" s="89"/>
      <c r="M56" s="89"/>
      <c r="N56" s="35" t="s">
        <v>319</v>
      </c>
      <c r="O56" s="40" t="str">
        <f t="shared" si="1"/>
        <v>⬜ Aguardando 3º contato</v>
      </c>
      <c r="P56" s="41" t="str">
        <f t="shared" si="2"/>
        <v/>
      </c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</row>
    <row r="57" spans="1:32" ht="15.75" customHeight="1" x14ac:dyDescent="0.2">
      <c r="A57" s="60"/>
      <c r="B57" s="224"/>
      <c r="C57" s="87">
        <v>0</v>
      </c>
      <c r="D57" s="87">
        <v>0</v>
      </c>
      <c r="E57" s="87">
        <v>2</v>
      </c>
      <c r="F57" s="35" t="s">
        <v>127</v>
      </c>
      <c r="G57" s="87">
        <v>10</v>
      </c>
      <c r="H57" s="87">
        <v>20</v>
      </c>
      <c r="I57" s="87"/>
      <c r="J57" s="88">
        <f t="shared" si="0"/>
        <v>0</v>
      </c>
      <c r="K57" s="89"/>
      <c r="L57" s="89"/>
      <c r="M57" s="89"/>
      <c r="N57" s="35" t="s">
        <v>588</v>
      </c>
      <c r="O57" s="40" t="str">
        <f t="shared" si="1"/>
        <v>⬜ Aguardando 3º contato</v>
      </c>
      <c r="P57" s="41" t="str">
        <f t="shared" si="2"/>
        <v/>
      </c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</row>
    <row r="58" spans="1:32" ht="15.75" customHeight="1" x14ac:dyDescent="0.2">
      <c r="A58" s="60"/>
      <c r="B58" s="224"/>
      <c r="C58" s="87">
        <v>0</v>
      </c>
      <c r="D58" s="87">
        <v>0</v>
      </c>
      <c r="E58" s="87">
        <v>1</v>
      </c>
      <c r="F58" t="s">
        <v>480</v>
      </c>
      <c r="G58" s="87">
        <v>7</v>
      </c>
      <c r="H58" s="87">
        <v>10</v>
      </c>
      <c r="I58" s="87"/>
      <c r="J58" s="88">
        <f t="shared" si="0"/>
        <v>0</v>
      </c>
      <c r="K58" s="89"/>
      <c r="L58" s="89"/>
      <c r="M58" s="89"/>
      <c r="N58" s="35" t="s">
        <v>588</v>
      </c>
      <c r="O58" s="40" t="str">
        <f t="shared" si="1"/>
        <v>⬜ Aguardando 3º contato</v>
      </c>
      <c r="P58" s="41" t="str">
        <f t="shared" si="2"/>
        <v/>
      </c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</row>
    <row r="59" spans="1:32" ht="15.75" customHeight="1" x14ac:dyDescent="0.2">
      <c r="A59" s="60"/>
      <c r="B59" s="224"/>
      <c r="C59" s="87">
        <v>0</v>
      </c>
      <c r="D59" s="87">
        <v>0</v>
      </c>
      <c r="E59" s="87">
        <v>1</v>
      </c>
      <c r="F59" s="35" t="s">
        <v>481</v>
      </c>
      <c r="G59" s="87">
        <v>27</v>
      </c>
      <c r="H59" s="87">
        <v>10</v>
      </c>
      <c r="I59" s="87"/>
      <c r="J59" s="88">
        <f t="shared" si="0"/>
        <v>0</v>
      </c>
      <c r="K59" s="89"/>
      <c r="L59" s="89"/>
      <c r="M59" s="89"/>
      <c r="N59" s="35" t="s">
        <v>588</v>
      </c>
      <c r="O59" s="40" t="str">
        <f t="shared" si="1"/>
        <v>⬜ Aguardando 3º contato</v>
      </c>
      <c r="P59" s="41" t="str">
        <f t="shared" si="2"/>
        <v/>
      </c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</row>
    <row r="60" spans="1:32" ht="15.75" customHeight="1" x14ac:dyDescent="0.2">
      <c r="A60" s="60"/>
      <c r="B60" s="227"/>
      <c r="C60" s="87">
        <v>0</v>
      </c>
      <c r="D60" s="87">
        <v>0</v>
      </c>
      <c r="E60" s="87">
        <v>1</v>
      </c>
      <c r="F60" s="35" t="s">
        <v>128</v>
      </c>
      <c r="G60" s="87">
        <v>8</v>
      </c>
      <c r="H60" s="87">
        <v>10</v>
      </c>
      <c r="I60" s="87"/>
      <c r="J60" s="88">
        <f t="shared" si="0"/>
        <v>0</v>
      </c>
      <c r="K60" s="89"/>
      <c r="L60" s="89"/>
      <c r="M60" s="89"/>
      <c r="N60" s="35" t="s">
        <v>588</v>
      </c>
      <c r="O60" s="40" t="str">
        <f t="shared" si="1"/>
        <v>⬜ Aguardando 3º contato</v>
      </c>
      <c r="P60" s="41" t="str">
        <f t="shared" si="2"/>
        <v/>
      </c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</row>
    <row r="61" spans="1:32" ht="15.75" customHeight="1" x14ac:dyDescent="0.2">
      <c r="A61" s="60"/>
      <c r="B61" s="223" t="s">
        <v>129</v>
      </c>
      <c r="C61" s="24">
        <v>2</v>
      </c>
      <c r="D61" s="24">
        <v>1</v>
      </c>
      <c r="E61" s="24">
        <v>3</v>
      </c>
      <c r="F61" s="25" t="s">
        <v>130</v>
      </c>
      <c r="G61" s="24">
        <v>12</v>
      </c>
      <c r="H61" s="24">
        <v>30</v>
      </c>
      <c r="I61" s="24"/>
      <c r="J61" s="82">
        <f t="shared" si="0"/>
        <v>0</v>
      </c>
      <c r="K61" s="95"/>
      <c r="L61" s="95"/>
      <c r="M61" s="95"/>
      <c r="N61" s="25" t="s">
        <v>303</v>
      </c>
      <c r="O61" s="30" t="str">
        <f t="shared" si="1"/>
        <v>⬜ Aguardando 3º contato</v>
      </c>
      <c r="P61" s="32" t="str">
        <f t="shared" si="2"/>
        <v/>
      </c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</row>
    <row r="62" spans="1:32" ht="15.75" customHeight="1" x14ac:dyDescent="0.2">
      <c r="A62" s="60"/>
      <c r="B62" s="224"/>
      <c r="C62" s="24">
        <v>2</v>
      </c>
      <c r="D62" s="24">
        <v>3</v>
      </c>
      <c r="E62" s="24">
        <v>4</v>
      </c>
      <c r="F62" s="25" t="s">
        <v>482</v>
      </c>
      <c r="G62" s="24">
        <v>42</v>
      </c>
      <c r="H62" s="24">
        <v>40</v>
      </c>
      <c r="I62" s="24"/>
      <c r="J62" s="82">
        <f t="shared" si="0"/>
        <v>0</v>
      </c>
      <c r="K62" s="95"/>
      <c r="L62" s="95"/>
      <c r="M62" s="95"/>
      <c r="N62" s="25" t="s">
        <v>608</v>
      </c>
      <c r="O62" s="30" t="str">
        <f t="shared" si="1"/>
        <v>⬜ Aguardando 3º contato</v>
      </c>
      <c r="P62" s="32" t="str">
        <f t="shared" si="2"/>
        <v/>
      </c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</row>
    <row r="63" spans="1:32" ht="15.75" customHeight="1" x14ac:dyDescent="0.2">
      <c r="A63" s="60"/>
      <c r="B63" s="224"/>
      <c r="C63" s="24">
        <v>0</v>
      </c>
      <c r="D63" s="24">
        <v>3</v>
      </c>
      <c r="E63" s="24">
        <v>3</v>
      </c>
      <c r="F63" s="25" t="s">
        <v>483</v>
      </c>
      <c r="G63" s="24">
        <v>9</v>
      </c>
      <c r="H63" s="24">
        <v>30</v>
      </c>
      <c r="I63" s="24"/>
      <c r="J63" s="82">
        <f t="shared" si="0"/>
        <v>0</v>
      </c>
      <c r="K63" s="95"/>
      <c r="L63" s="95"/>
      <c r="M63" s="95"/>
      <c r="N63" s="25" t="s">
        <v>361</v>
      </c>
      <c r="O63" s="30" t="str">
        <f t="shared" si="1"/>
        <v>⬜ Aguardando 3º contato</v>
      </c>
      <c r="P63" s="32" t="str">
        <f t="shared" si="2"/>
        <v/>
      </c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</row>
    <row r="64" spans="1:32" ht="15.75" customHeight="1" x14ac:dyDescent="0.2">
      <c r="A64" s="60"/>
      <c r="B64" s="224"/>
      <c r="C64" s="24">
        <v>4</v>
      </c>
      <c r="D64" s="24">
        <v>0</v>
      </c>
      <c r="E64" s="24">
        <v>3</v>
      </c>
      <c r="F64" s="25" t="s">
        <v>484</v>
      </c>
      <c r="G64" s="81">
        <v>14</v>
      </c>
      <c r="H64" s="24">
        <v>30</v>
      </c>
      <c r="I64" s="24"/>
      <c r="J64" s="82">
        <f t="shared" si="0"/>
        <v>0</v>
      </c>
      <c r="K64" s="95"/>
      <c r="L64" s="95"/>
      <c r="M64" s="95"/>
      <c r="N64" s="25" t="s">
        <v>301</v>
      </c>
      <c r="O64" s="30" t="str">
        <f t="shared" si="1"/>
        <v>⬜ Aguardando 3º contato</v>
      </c>
      <c r="P64" s="32" t="str">
        <f t="shared" si="2"/>
        <v/>
      </c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</row>
    <row r="65" spans="1:32" ht="15.75" customHeight="1" x14ac:dyDescent="0.2">
      <c r="A65" s="60"/>
      <c r="B65" s="224"/>
      <c r="C65" s="24">
        <v>0</v>
      </c>
      <c r="D65" s="24">
        <v>0</v>
      </c>
      <c r="E65" s="24">
        <v>3</v>
      </c>
      <c r="F65" s="25" t="s">
        <v>131</v>
      </c>
      <c r="G65" s="24">
        <v>14</v>
      </c>
      <c r="H65" s="24">
        <v>30</v>
      </c>
      <c r="I65" s="24"/>
      <c r="J65" s="82">
        <f t="shared" si="0"/>
        <v>0</v>
      </c>
      <c r="K65" s="95"/>
      <c r="L65" s="95"/>
      <c r="M65" s="95"/>
      <c r="N65" s="25" t="s">
        <v>588</v>
      </c>
      <c r="O65" s="30" t="str">
        <f t="shared" si="1"/>
        <v>⬜ Aguardando 3º contato</v>
      </c>
      <c r="P65" s="32" t="str">
        <f t="shared" si="2"/>
        <v/>
      </c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</row>
    <row r="66" spans="1:32" ht="15.75" customHeight="1" x14ac:dyDescent="0.2">
      <c r="A66" s="60"/>
      <c r="B66" s="227"/>
      <c r="C66" s="24">
        <v>0</v>
      </c>
      <c r="D66" s="24">
        <v>0</v>
      </c>
      <c r="E66" s="24">
        <v>1</v>
      </c>
      <c r="F66" s="25" t="s">
        <v>132</v>
      </c>
      <c r="G66" s="24">
        <v>11</v>
      </c>
      <c r="H66" s="24">
        <v>10</v>
      </c>
      <c r="I66" s="24"/>
      <c r="J66" s="82">
        <f t="shared" si="0"/>
        <v>0</v>
      </c>
      <c r="K66" s="95"/>
      <c r="L66" s="95"/>
      <c r="M66" s="95"/>
      <c r="N66" s="25" t="s">
        <v>588</v>
      </c>
      <c r="O66" s="30" t="str">
        <f t="shared" si="1"/>
        <v>⬜ Aguardando 3º contato</v>
      </c>
      <c r="P66" s="32" t="str">
        <f t="shared" si="2"/>
        <v/>
      </c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</row>
    <row r="67" spans="1:32" ht="15.75" customHeight="1" x14ac:dyDescent="0.2">
      <c r="A67" s="60"/>
      <c r="B67" s="215" t="s">
        <v>133</v>
      </c>
      <c r="C67" s="33">
        <v>0</v>
      </c>
      <c r="D67" s="33">
        <v>5</v>
      </c>
      <c r="E67" s="34">
        <v>3</v>
      </c>
      <c r="F67" s="35" t="s">
        <v>485</v>
      </c>
      <c r="G67" s="34">
        <v>26</v>
      </c>
      <c r="H67" s="34">
        <v>30</v>
      </c>
      <c r="I67" s="34"/>
      <c r="J67" s="88">
        <f t="shared" si="0"/>
        <v>0</v>
      </c>
      <c r="K67" s="96"/>
      <c r="L67" s="96"/>
      <c r="M67" s="96"/>
      <c r="N67" s="35" t="s">
        <v>362</v>
      </c>
      <c r="O67" s="40" t="str">
        <f t="shared" si="1"/>
        <v>⬜ Aguardando 3º contato</v>
      </c>
      <c r="P67" s="41" t="str">
        <f t="shared" si="2"/>
        <v/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</row>
    <row r="68" spans="1:32" ht="15.75" customHeight="1" x14ac:dyDescent="0.2">
      <c r="A68" s="60"/>
      <c r="B68" s="213"/>
      <c r="C68" s="33">
        <v>1</v>
      </c>
      <c r="D68" s="33">
        <v>3</v>
      </c>
      <c r="E68" s="34">
        <v>3</v>
      </c>
      <c r="F68" s="35" t="s">
        <v>486</v>
      </c>
      <c r="G68" s="34">
        <v>12</v>
      </c>
      <c r="H68" s="34">
        <v>30</v>
      </c>
      <c r="I68" s="34"/>
      <c r="J68" s="88">
        <f t="shared" si="0"/>
        <v>0</v>
      </c>
      <c r="K68" s="96"/>
      <c r="L68" s="96"/>
      <c r="M68" s="96"/>
      <c r="N68" s="35" t="s">
        <v>307</v>
      </c>
      <c r="O68" s="40" t="str">
        <f t="shared" si="1"/>
        <v>⬜ Aguardando 3º contato</v>
      </c>
      <c r="P68" s="41" t="str">
        <f t="shared" si="2"/>
        <v/>
      </c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</row>
    <row r="69" spans="1:32" ht="15.75" customHeight="1" x14ac:dyDescent="0.2">
      <c r="A69" s="60"/>
      <c r="B69" s="214"/>
      <c r="C69" s="33">
        <v>1</v>
      </c>
      <c r="D69" s="33">
        <v>0</v>
      </c>
      <c r="E69" s="34">
        <v>2</v>
      </c>
      <c r="F69" s="35" t="s">
        <v>134</v>
      </c>
      <c r="G69" s="34">
        <v>11</v>
      </c>
      <c r="H69" s="34">
        <v>20</v>
      </c>
      <c r="I69" s="34"/>
      <c r="J69" s="88">
        <f t="shared" si="0"/>
        <v>0</v>
      </c>
      <c r="K69" s="96"/>
      <c r="L69" s="96"/>
      <c r="M69" s="96"/>
      <c r="N69" s="35" t="s">
        <v>306</v>
      </c>
      <c r="O69" s="40" t="str">
        <f t="shared" si="1"/>
        <v>⬜ Aguardando 3º contato</v>
      </c>
      <c r="P69" s="41" t="str">
        <f t="shared" si="2"/>
        <v/>
      </c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</row>
    <row r="70" spans="1:32" ht="15.75" customHeight="1" x14ac:dyDescent="0.2">
      <c r="A70" s="60"/>
      <c r="B70" s="212" t="s">
        <v>135</v>
      </c>
      <c r="C70" s="23">
        <v>3</v>
      </c>
      <c r="D70" s="23">
        <v>3</v>
      </c>
      <c r="E70" s="24">
        <v>3</v>
      </c>
      <c r="F70" s="25" t="s">
        <v>487</v>
      </c>
      <c r="G70" s="24">
        <v>18</v>
      </c>
      <c r="H70" s="24">
        <v>30</v>
      </c>
      <c r="I70" s="24"/>
      <c r="J70" s="82">
        <f t="shared" si="0"/>
        <v>0</v>
      </c>
      <c r="K70" s="95"/>
      <c r="L70" s="95"/>
      <c r="M70" s="95"/>
      <c r="N70" s="25" t="s">
        <v>304</v>
      </c>
      <c r="O70" s="30" t="str">
        <f t="shared" si="1"/>
        <v>⬜ Aguardando 3º contato</v>
      </c>
      <c r="P70" s="32" t="str">
        <f t="shared" si="2"/>
        <v/>
      </c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</row>
    <row r="71" spans="1:32" ht="15.75" customHeight="1" x14ac:dyDescent="0.2">
      <c r="A71" s="60"/>
      <c r="B71" s="213"/>
      <c r="C71" s="23">
        <v>3</v>
      </c>
      <c r="D71" s="23">
        <v>8</v>
      </c>
      <c r="E71" s="24">
        <v>2</v>
      </c>
      <c r="F71" s="25" t="s">
        <v>488</v>
      </c>
      <c r="G71" s="24">
        <v>24</v>
      </c>
      <c r="H71" s="24">
        <v>20</v>
      </c>
      <c r="I71" s="24"/>
      <c r="J71" s="82">
        <f t="shared" si="0"/>
        <v>0</v>
      </c>
      <c r="K71" s="95"/>
      <c r="L71" s="95"/>
      <c r="M71" s="95"/>
      <c r="N71" s="25" t="s">
        <v>591</v>
      </c>
      <c r="O71" s="30" t="str">
        <f t="shared" si="1"/>
        <v>⬜ Aguardando 3º contato</v>
      </c>
      <c r="P71" s="32" t="str">
        <f t="shared" si="2"/>
        <v/>
      </c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</row>
    <row r="72" spans="1:32" ht="15.75" customHeight="1" x14ac:dyDescent="0.2">
      <c r="A72" s="60"/>
      <c r="B72" s="213"/>
      <c r="C72" s="23">
        <v>1</v>
      </c>
      <c r="D72" s="23">
        <v>1</v>
      </c>
      <c r="E72" s="24">
        <v>2</v>
      </c>
      <c r="F72" s="25" t="s">
        <v>136</v>
      </c>
      <c r="G72" s="24">
        <v>14</v>
      </c>
      <c r="H72" s="24">
        <v>20</v>
      </c>
      <c r="I72" s="24"/>
      <c r="J72" s="82">
        <f t="shared" si="0"/>
        <v>0</v>
      </c>
      <c r="K72" s="95"/>
      <c r="L72" s="95"/>
      <c r="M72" s="95"/>
      <c r="N72" s="25" t="s">
        <v>318</v>
      </c>
      <c r="O72" s="30" t="str">
        <f t="shared" si="1"/>
        <v>⬜ Aguardando 3º contato</v>
      </c>
      <c r="P72" s="32" t="str">
        <f t="shared" si="2"/>
        <v/>
      </c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</row>
    <row r="73" spans="1:32" ht="15.75" customHeight="1" x14ac:dyDescent="0.2">
      <c r="A73" s="60"/>
      <c r="B73" s="213"/>
      <c r="C73" s="23">
        <v>1</v>
      </c>
      <c r="D73" s="23">
        <v>0</v>
      </c>
      <c r="E73" s="24">
        <v>3</v>
      </c>
      <c r="F73" s="25" t="s">
        <v>489</v>
      </c>
      <c r="G73" s="24">
        <v>30</v>
      </c>
      <c r="H73" s="24">
        <v>30</v>
      </c>
      <c r="I73" s="24"/>
      <c r="J73" s="82">
        <f t="shared" si="0"/>
        <v>0</v>
      </c>
      <c r="K73" s="95"/>
      <c r="L73" s="95"/>
      <c r="M73" s="95"/>
      <c r="N73" s="25" t="s">
        <v>305</v>
      </c>
      <c r="O73" s="30" t="str">
        <f t="shared" si="1"/>
        <v>⬜ Aguardando 3º contato</v>
      </c>
      <c r="P73" s="32" t="str">
        <f t="shared" si="2"/>
        <v/>
      </c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</row>
    <row r="74" spans="1:32" ht="15.75" customHeight="1" x14ac:dyDescent="0.2">
      <c r="A74" s="60"/>
      <c r="B74" s="214"/>
      <c r="C74" s="23">
        <v>0</v>
      </c>
      <c r="D74" s="23">
        <v>0</v>
      </c>
      <c r="E74" s="24">
        <v>3</v>
      </c>
      <c r="F74" s="25" t="s">
        <v>137</v>
      </c>
      <c r="G74" s="24">
        <v>20</v>
      </c>
      <c r="H74" s="24">
        <v>30</v>
      </c>
      <c r="I74" s="24"/>
      <c r="J74" s="82">
        <f t="shared" si="0"/>
        <v>0</v>
      </c>
      <c r="K74" s="95"/>
      <c r="L74" s="95"/>
      <c r="M74" s="95"/>
      <c r="N74" s="25" t="s">
        <v>588</v>
      </c>
      <c r="O74" s="30" t="str">
        <f t="shared" si="1"/>
        <v>⬜ Aguardando 3º contato</v>
      </c>
      <c r="P74" s="32" t="str">
        <f t="shared" si="2"/>
        <v/>
      </c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</row>
    <row r="75" spans="1:32" ht="15.75" customHeight="1" x14ac:dyDescent="0.2">
      <c r="A75" s="60"/>
      <c r="B75" s="226" t="s">
        <v>138</v>
      </c>
      <c r="C75" s="87">
        <v>3</v>
      </c>
      <c r="D75" s="87">
        <v>1</v>
      </c>
      <c r="E75" s="87">
        <v>3</v>
      </c>
      <c r="F75" s="35" t="s">
        <v>139</v>
      </c>
      <c r="G75" s="34">
        <v>14</v>
      </c>
      <c r="H75" s="34">
        <v>30</v>
      </c>
      <c r="I75" s="34"/>
      <c r="J75" s="88">
        <f t="shared" si="0"/>
        <v>0</v>
      </c>
      <c r="K75" s="96"/>
      <c r="L75" s="96"/>
      <c r="M75" s="96"/>
      <c r="N75" s="35" t="s">
        <v>311</v>
      </c>
      <c r="O75" s="40" t="str">
        <f t="shared" si="1"/>
        <v>⬜ Aguardando 3º contato</v>
      </c>
      <c r="P75" s="41" t="str">
        <f t="shared" si="2"/>
        <v/>
      </c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</row>
    <row r="76" spans="1:32" ht="15.75" customHeight="1" x14ac:dyDescent="0.2">
      <c r="A76" s="60"/>
      <c r="B76" s="224"/>
      <c r="C76" s="87">
        <v>1</v>
      </c>
      <c r="D76" s="87">
        <v>2</v>
      </c>
      <c r="E76" s="87">
        <v>1</v>
      </c>
      <c r="F76" s="35" t="s">
        <v>140</v>
      </c>
      <c r="G76" s="34">
        <v>8</v>
      </c>
      <c r="H76" s="34">
        <v>10</v>
      </c>
      <c r="I76" s="34"/>
      <c r="J76" s="88">
        <f t="shared" si="0"/>
        <v>0</v>
      </c>
      <c r="K76" s="96"/>
      <c r="L76" s="96"/>
      <c r="M76" s="96"/>
      <c r="N76" s="35" t="s">
        <v>302</v>
      </c>
      <c r="O76" s="40" t="str">
        <f t="shared" si="1"/>
        <v>⬜ Aguardando 3º contato</v>
      </c>
      <c r="P76" s="41" t="str">
        <f t="shared" si="2"/>
        <v/>
      </c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</row>
    <row r="77" spans="1:32" ht="15.75" customHeight="1" x14ac:dyDescent="0.2">
      <c r="A77" s="60"/>
      <c r="B77" s="224"/>
      <c r="C77" s="87">
        <v>0</v>
      </c>
      <c r="D77" s="87">
        <v>0</v>
      </c>
      <c r="E77" s="87">
        <v>2</v>
      </c>
      <c r="F77" s="35" t="s">
        <v>490</v>
      </c>
      <c r="G77" s="34">
        <v>11</v>
      </c>
      <c r="H77" s="34">
        <v>20</v>
      </c>
      <c r="I77" s="34"/>
      <c r="J77" s="88">
        <f t="shared" si="0"/>
        <v>0</v>
      </c>
      <c r="K77" s="96"/>
      <c r="L77" s="96"/>
      <c r="M77" s="96"/>
      <c r="N77" s="35" t="s">
        <v>588</v>
      </c>
      <c r="O77" s="40" t="str">
        <f t="shared" si="1"/>
        <v>⬜ Aguardando 3º contato</v>
      </c>
      <c r="P77" s="41" t="str">
        <f t="shared" si="2"/>
        <v/>
      </c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</row>
    <row r="78" spans="1:32" ht="15.75" customHeight="1" x14ac:dyDescent="0.2">
      <c r="A78" s="60"/>
      <c r="B78" s="224"/>
      <c r="C78" s="87">
        <v>0</v>
      </c>
      <c r="D78" s="87">
        <v>1</v>
      </c>
      <c r="E78" s="87">
        <v>2</v>
      </c>
      <c r="F78" s="35" t="s">
        <v>491</v>
      </c>
      <c r="G78" s="34">
        <v>13</v>
      </c>
      <c r="H78" s="34">
        <v>20</v>
      </c>
      <c r="I78" s="34"/>
      <c r="J78" s="88">
        <f t="shared" si="0"/>
        <v>0</v>
      </c>
      <c r="K78" s="96"/>
      <c r="L78" s="96"/>
      <c r="M78" s="96"/>
      <c r="N78" s="35" t="s">
        <v>591</v>
      </c>
      <c r="O78" s="40" t="str">
        <f t="shared" si="1"/>
        <v>⬜ Aguardando 3º contato</v>
      </c>
      <c r="P78" s="41" t="str">
        <f t="shared" si="2"/>
        <v/>
      </c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</row>
    <row r="79" spans="1:32" ht="15.75" customHeight="1" x14ac:dyDescent="0.2">
      <c r="A79" s="60"/>
      <c r="B79" s="224"/>
      <c r="C79" s="87">
        <v>0</v>
      </c>
      <c r="D79" s="87">
        <v>0</v>
      </c>
      <c r="E79" s="87">
        <v>1</v>
      </c>
      <c r="F79" s="35" t="s">
        <v>492</v>
      </c>
      <c r="G79" s="34">
        <v>11</v>
      </c>
      <c r="H79" s="34">
        <v>10</v>
      </c>
      <c r="I79" s="34"/>
      <c r="J79" s="88">
        <f t="shared" si="0"/>
        <v>0</v>
      </c>
      <c r="K79" s="96"/>
      <c r="L79" s="96"/>
      <c r="M79" s="96"/>
      <c r="N79" s="35" t="s">
        <v>588</v>
      </c>
      <c r="O79" s="40" t="str">
        <f t="shared" si="1"/>
        <v>⬜ Aguardando 3º contato</v>
      </c>
      <c r="P79" s="41" t="str">
        <f t="shared" si="2"/>
        <v/>
      </c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</row>
    <row r="80" spans="1:32" ht="15.75" customHeight="1" x14ac:dyDescent="0.2">
      <c r="A80" s="60"/>
      <c r="B80" s="227"/>
      <c r="C80" s="87">
        <v>0</v>
      </c>
      <c r="D80" s="87">
        <v>0</v>
      </c>
      <c r="E80" s="87">
        <v>1</v>
      </c>
      <c r="F80" s="35" t="s">
        <v>493</v>
      </c>
      <c r="G80" s="34">
        <v>9</v>
      </c>
      <c r="H80" s="34">
        <v>10</v>
      </c>
      <c r="I80" s="34"/>
      <c r="J80" s="88">
        <f t="shared" si="0"/>
        <v>0</v>
      </c>
      <c r="K80" s="96"/>
      <c r="L80" s="96"/>
      <c r="M80" s="96"/>
      <c r="N80" s="35" t="s">
        <v>588</v>
      </c>
      <c r="O80" s="40" t="str">
        <f t="shared" si="1"/>
        <v>⬜ Aguardando 3º contato</v>
      </c>
      <c r="P80" s="41" t="str">
        <f t="shared" si="2"/>
        <v/>
      </c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</row>
    <row r="81" spans="1:32" ht="15.75" customHeight="1" x14ac:dyDescent="0.2">
      <c r="A81" s="60"/>
      <c r="B81" s="223" t="s">
        <v>141</v>
      </c>
      <c r="C81" s="81">
        <v>0</v>
      </c>
      <c r="D81" s="81">
        <v>4</v>
      </c>
      <c r="E81" s="81">
        <v>1</v>
      </c>
      <c r="F81" s="25" t="s">
        <v>494</v>
      </c>
      <c r="G81" s="81">
        <v>19</v>
      </c>
      <c r="H81" s="81">
        <v>10</v>
      </c>
      <c r="I81" s="81"/>
      <c r="J81" s="82">
        <f t="shared" si="0"/>
        <v>0</v>
      </c>
      <c r="K81" s="83"/>
      <c r="L81" s="83"/>
      <c r="M81" s="83"/>
      <c r="N81" s="25" t="s">
        <v>591</v>
      </c>
      <c r="O81" s="30" t="str">
        <f t="shared" si="1"/>
        <v>⬜ Aguardando 3º contato</v>
      </c>
      <c r="P81" s="32" t="str">
        <f t="shared" si="2"/>
        <v/>
      </c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</row>
    <row r="82" spans="1:32" ht="15.75" customHeight="1" x14ac:dyDescent="0.2">
      <c r="A82" s="60"/>
      <c r="B82" s="224"/>
      <c r="C82" s="81">
        <v>0</v>
      </c>
      <c r="D82" s="81">
        <v>0</v>
      </c>
      <c r="E82" s="81">
        <v>1</v>
      </c>
      <c r="F82" s="25" t="s">
        <v>495</v>
      </c>
      <c r="G82" s="81">
        <v>10</v>
      </c>
      <c r="H82" s="81">
        <v>10</v>
      </c>
      <c r="I82" s="81"/>
      <c r="J82" s="82">
        <f t="shared" si="0"/>
        <v>0</v>
      </c>
      <c r="K82" s="83"/>
      <c r="L82" s="83"/>
      <c r="M82" s="83"/>
      <c r="N82" s="25" t="s">
        <v>588</v>
      </c>
      <c r="O82" s="30" t="str">
        <f t="shared" si="1"/>
        <v>⬜ Aguardando 3º contato</v>
      </c>
      <c r="P82" s="32" t="str">
        <f t="shared" si="2"/>
        <v/>
      </c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</row>
    <row r="83" spans="1:32" ht="15.75" customHeight="1" x14ac:dyDescent="0.2">
      <c r="A83" s="60"/>
      <c r="B83" s="224"/>
      <c r="C83" s="81">
        <v>0</v>
      </c>
      <c r="D83" s="81">
        <v>0</v>
      </c>
      <c r="E83" s="81">
        <v>1</v>
      </c>
      <c r="F83" s="25" t="s">
        <v>143</v>
      </c>
      <c r="G83" s="81">
        <v>8</v>
      </c>
      <c r="H83" s="81">
        <v>10</v>
      </c>
      <c r="I83" s="81"/>
      <c r="J83" s="82">
        <f t="shared" si="0"/>
        <v>0</v>
      </c>
      <c r="K83" s="83"/>
      <c r="L83" s="83"/>
      <c r="M83" s="83"/>
      <c r="N83" s="25" t="s">
        <v>588</v>
      </c>
      <c r="O83" s="30" t="str">
        <f t="shared" si="1"/>
        <v>⬜ Aguardando 3º contato</v>
      </c>
      <c r="P83" s="32" t="str">
        <f t="shared" si="2"/>
        <v/>
      </c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</row>
    <row r="84" spans="1:32" ht="15.75" customHeight="1" x14ac:dyDescent="0.2">
      <c r="A84" s="60"/>
      <c r="B84" s="224"/>
      <c r="C84" s="81">
        <v>0</v>
      </c>
      <c r="D84" s="81">
        <v>0</v>
      </c>
      <c r="E84" s="81">
        <v>1</v>
      </c>
      <c r="F84" s="25" t="s">
        <v>144</v>
      </c>
      <c r="G84" s="81">
        <v>14</v>
      </c>
      <c r="H84" s="81">
        <v>10</v>
      </c>
      <c r="I84" s="81"/>
      <c r="J84" s="82">
        <f t="shared" si="0"/>
        <v>0</v>
      </c>
      <c r="K84" s="83"/>
      <c r="L84" s="83"/>
      <c r="M84" s="83"/>
      <c r="N84" s="25" t="s">
        <v>588</v>
      </c>
      <c r="O84" s="30" t="str">
        <f t="shared" si="1"/>
        <v>⬜ Aguardando 3º contato</v>
      </c>
      <c r="P84" s="32" t="str">
        <f t="shared" si="2"/>
        <v/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</row>
    <row r="85" spans="1:32" ht="15.75" customHeight="1" x14ac:dyDescent="0.2">
      <c r="A85" s="60"/>
      <c r="B85" s="227"/>
      <c r="C85" s="81">
        <v>0</v>
      </c>
      <c r="D85" s="81">
        <v>0</v>
      </c>
      <c r="E85" s="81">
        <v>1</v>
      </c>
      <c r="F85" s="25" t="s">
        <v>496</v>
      </c>
      <c r="G85" s="81">
        <v>18</v>
      </c>
      <c r="H85" s="81">
        <v>10</v>
      </c>
      <c r="I85" s="81"/>
      <c r="J85" s="82">
        <f t="shared" si="0"/>
        <v>0</v>
      </c>
      <c r="K85" s="83"/>
      <c r="L85" s="83"/>
      <c r="M85" s="83"/>
      <c r="N85" s="25" t="s">
        <v>588</v>
      </c>
      <c r="O85" s="30" t="str">
        <f t="shared" si="1"/>
        <v>⬜ Aguardando 3º contato</v>
      </c>
      <c r="P85" s="32" t="str">
        <f t="shared" si="2"/>
        <v/>
      </c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</row>
    <row r="86" spans="1:32" ht="15.75" customHeight="1" x14ac:dyDescent="0.2">
      <c r="A86" s="60"/>
      <c r="B86" s="247" t="s">
        <v>145</v>
      </c>
      <c r="C86" s="87">
        <v>0</v>
      </c>
      <c r="D86" s="87">
        <v>0</v>
      </c>
      <c r="E86" s="87">
        <v>1</v>
      </c>
      <c r="F86" s="35" t="s">
        <v>146</v>
      </c>
      <c r="G86" s="87">
        <v>23</v>
      </c>
      <c r="H86" s="87">
        <v>10</v>
      </c>
      <c r="I86" s="87"/>
      <c r="J86" s="88">
        <f t="shared" si="0"/>
        <v>0</v>
      </c>
      <c r="K86" s="89"/>
      <c r="L86" s="89"/>
      <c r="M86" s="89"/>
      <c r="N86" s="35" t="s">
        <v>588</v>
      </c>
      <c r="O86" s="40" t="str">
        <f t="shared" si="1"/>
        <v>⬜ Aguardando 3º contato</v>
      </c>
      <c r="P86" s="41" t="str">
        <f t="shared" si="2"/>
        <v/>
      </c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</row>
    <row r="87" spans="1:32" ht="15.75" customHeight="1" x14ac:dyDescent="0.2">
      <c r="A87" s="60"/>
      <c r="B87" s="248"/>
      <c r="C87" s="87">
        <v>0</v>
      </c>
      <c r="D87" s="87">
        <v>0</v>
      </c>
      <c r="E87" s="87">
        <v>1</v>
      </c>
      <c r="F87" s="35" t="s">
        <v>147</v>
      </c>
      <c r="G87" s="87">
        <v>14</v>
      </c>
      <c r="H87" s="87">
        <v>10</v>
      </c>
      <c r="I87" s="87"/>
      <c r="J87" s="88">
        <f t="shared" si="0"/>
        <v>0</v>
      </c>
      <c r="K87" s="89"/>
      <c r="L87" s="89"/>
      <c r="M87" s="89"/>
      <c r="N87" s="35" t="s">
        <v>588</v>
      </c>
      <c r="O87" s="40" t="str">
        <f t="shared" si="1"/>
        <v>⬜ Aguardando 3º contato</v>
      </c>
      <c r="P87" s="41" t="str">
        <f t="shared" si="2"/>
        <v/>
      </c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</row>
    <row r="88" spans="1:32" ht="15.75" customHeight="1" x14ac:dyDescent="0.2">
      <c r="A88" s="60"/>
      <c r="B88" s="248"/>
      <c r="C88" s="87">
        <v>0</v>
      </c>
      <c r="D88" s="87">
        <v>0</v>
      </c>
      <c r="E88" s="87">
        <v>1</v>
      </c>
      <c r="F88" s="35" t="s">
        <v>497</v>
      </c>
      <c r="G88" s="87">
        <v>6</v>
      </c>
      <c r="H88" s="87">
        <v>10</v>
      </c>
      <c r="I88" s="87"/>
      <c r="J88" s="88">
        <f t="shared" si="0"/>
        <v>0</v>
      </c>
      <c r="K88" s="89"/>
      <c r="L88" s="89"/>
      <c r="M88" s="89"/>
      <c r="N88" s="35" t="s">
        <v>588</v>
      </c>
      <c r="O88" s="40" t="str">
        <f t="shared" si="1"/>
        <v>⬜ Aguardando 3º contato</v>
      </c>
      <c r="P88" s="41" t="str">
        <f t="shared" si="2"/>
        <v/>
      </c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</row>
    <row r="89" spans="1:32" ht="15.75" customHeight="1" x14ac:dyDescent="0.2">
      <c r="A89" s="60"/>
      <c r="B89" s="248"/>
      <c r="C89" s="87">
        <v>0</v>
      </c>
      <c r="D89" s="87">
        <v>0</v>
      </c>
      <c r="E89" s="87">
        <v>1</v>
      </c>
      <c r="F89" s="35" t="s">
        <v>148</v>
      </c>
      <c r="G89" s="87">
        <v>7</v>
      </c>
      <c r="H89" s="87">
        <v>10</v>
      </c>
      <c r="I89" s="87"/>
      <c r="J89" s="88">
        <f t="shared" si="0"/>
        <v>0</v>
      </c>
      <c r="K89" s="89"/>
      <c r="L89" s="89"/>
      <c r="M89" s="89"/>
      <c r="N89" s="35" t="s">
        <v>588</v>
      </c>
      <c r="O89" s="40" t="str">
        <f t="shared" si="1"/>
        <v>⬜ Aguardando 3º contato</v>
      </c>
      <c r="P89" s="97" t="str">
        <f t="shared" si="2"/>
        <v/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</row>
    <row r="90" spans="1:32" ht="15.75" customHeight="1" x14ac:dyDescent="0.2">
      <c r="A90" s="60"/>
      <c r="B90" s="248"/>
      <c r="C90" s="53">
        <v>0</v>
      </c>
      <c r="D90" s="53">
        <v>0</v>
      </c>
      <c r="E90" s="246"/>
      <c r="F90" s="35" t="s">
        <v>149</v>
      </c>
      <c r="G90" s="87">
        <v>7</v>
      </c>
      <c r="H90" s="87">
        <v>10</v>
      </c>
      <c r="I90" s="87"/>
      <c r="J90" s="88">
        <f t="shared" ref="J90" si="3">IF(OR(I90="",I90=0),0,I90/H90)</f>
        <v>0</v>
      </c>
      <c r="K90" s="89"/>
      <c r="L90" s="89"/>
      <c r="M90" s="89"/>
      <c r="N90" s="35" t="s">
        <v>588</v>
      </c>
      <c r="O90" s="40" t="str">
        <f t="shared" ref="O90" si="4">IF(OR(K90="",L90="",M90=""),"⬜ Aguardando 3º contato",IF(J90=0,"⬜ Sem acertos registrados",IF(J90&gt;0.9,"✅ Rever em "&amp;TEXT(M90+60,"dd/mm/aaaa"),IF(J90&gt;0.8001,"🔵 Rever em "&amp;TEXT(M90+45,"dd/mm/aaaa"),IF(J90&gt;0.7001,"🟡 Rever em "&amp;TEXT(M90+30,"dd/mm/aaaa"),"🔴 Rever em "&amp;TEXT(M90+7,"dd/mm/aaaa"))))))</f>
        <v>⬜ Aguardando 3º contato</v>
      </c>
      <c r="P90" s="97" t="str">
        <f t="shared" ref="P90" si="5">IF(J90=0,"",IF(AND(J90&lt;0.7,MAX(C90,D90)&gt;=4),"🚨 CRÍTICO: Alta incidência + baixo aproveitamento",IF(J90&lt;0.7,"⚠️ Baixo aproveitamento - revisar urgente",IF(AND(J90&lt;0.8,MAX(C90,D90)&gt;=4),"📌 Atenção: Alta incidência",""))))</f>
        <v/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</row>
    <row r="91" spans="1:32" ht="15.75" customHeight="1" x14ac:dyDescent="0.2">
      <c r="A91" s="60"/>
      <c r="B91" s="52"/>
      <c r="C91" s="52"/>
      <c r="D91" s="52"/>
      <c r="E91" s="52"/>
      <c r="F91" s="98"/>
      <c r="G91" s="99"/>
      <c r="H91" s="55"/>
      <c r="I91" s="55"/>
      <c r="J91" s="55"/>
      <c r="K91" s="52"/>
      <c r="L91" s="52"/>
      <c r="M91" s="52"/>
      <c r="N91" s="56"/>
      <c r="O91" s="57"/>
      <c r="P91" s="57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</row>
    <row r="92" spans="1:32" ht="15.75" customHeight="1" x14ac:dyDescent="0.2">
      <c r="A92" s="60"/>
      <c r="B92" s="60"/>
      <c r="C92" s="3"/>
      <c r="D92" s="3"/>
      <c r="E92" s="3"/>
      <c r="F92" s="4"/>
      <c r="G92" s="3"/>
      <c r="H92" s="3"/>
      <c r="I92" s="3"/>
      <c r="J92" s="3"/>
      <c r="K92" s="61"/>
      <c r="L92" s="61"/>
      <c r="M92" s="61"/>
      <c r="N92" s="4"/>
      <c r="O92" s="4"/>
      <c r="P92" s="4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</row>
    <row r="93" spans="1:32" ht="15.75" customHeight="1" x14ac:dyDescent="0.2">
      <c r="A93" s="60"/>
      <c r="B93" s="60"/>
      <c r="C93" s="3"/>
      <c r="D93" s="3"/>
      <c r="E93" s="3"/>
      <c r="F93" s="4"/>
      <c r="G93" s="3"/>
      <c r="H93" s="3"/>
      <c r="I93" s="3"/>
      <c r="J93" s="3"/>
      <c r="K93" s="61"/>
      <c r="L93" s="61"/>
      <c r="M93" s="61"/>
      <c r="N93" s="4"/>
      <c r="O93" s="4"/>
      <c r="P93" s="4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</row>
    <row r="94" spans="1:32" ht="15.75" customHeight="1" x14ac:dyDescent="0.2">
      <c r="A94" s="60"/>
      <c r="B94" s="60"/>
      <c r="C94" s="3"/>
      <c r="D94" s="3"/>
      <c r="E94" s="3"/>
      <c r="F94" s="4"/>
      <c r="G94" s="3"/>
      <c r="H94" s="3"/>
      <c r="I94" s="3"/>
      <c r="J94" s="3"/>
      <c r="K94" s="61"/>
      <c r="L94" s="61"/>
      <c r="M94" s="61"/>
      <c r="N94" s="4"/>
      <c r="O94" s="4"/>
      <c r="P94" s="4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</row>
    <row r="95" spans="1:32" ht="15.75" customHeight="1" x14ac:dyDescent="0.2">
      <c r="A95" s="60"/>
      <c r="B95" s="60"/>
      <c r="C95" s="3"/>
      <c r="D95" s="3"/>
      <c r="E95" s="3"/>
      <c r="F95" s="4"/>
      <c r="G95" s="3"/>
      <c r="H95" s="3"/>
      <c r="I95" s="3"/>
      <c r="J95" s="3"/>
      <c r="K95" s="61"/>
      <c r="L95" s="61"/>
      <c r="M95" s="61"/>
      <c r="N95" s="4"/>
      <c r="O95" s="4"/>
      <c r="P95" s="4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</row>
    <row r="96" spans="1:32" ht="15.75" customHeight="1" x14ac:dyDescent="0.2">
      <c r="A96" s="60"/>
      <c r="B96" s="60"/>
      <c r="C96" s="3"/>
      <c r="D96" s="3"/>
      <c r="E96" s="3"/>
      <c r="F96" s="4"/>
      <c r="G96" s="3"/>
      <c r="H96" s="3"/>
      <c r="I96" s="3"/>
      <c r="J96" s="3"/>
      <c r="K96" s="61"/>
      <c r="L96" s="61"/>
      <c r="M96" s="61"/>
      <c r="N96" s="4"/>
      <c r="O96" s="4"/>
      <c r="P96" s="4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</row>
    <row r="97" spans="1:32" ht="15.75" customHeight="1" x14ac:dyDescent="0.2">
      <c r="A97" s="60"/>
      <c r="B97" s="60"/>
      <c r="C97" s="3"/>
      <c r="D97" s="3"/>
      <c r="E97" s="3"/>
      <c r="F97" s="4"/>
      <c r="G97" s="3"/>
      <c r="H97" s="3"/>
      <c r="I97" s="3"/>
      <c r="J97" s="3"/>
      <c r="K97" s="61"/>
      <c r="L97" s="61"/>
      <c r="M97" s="61"/>
      <c r="N97" s="4"/>
      <c r="O97" s="4"/>
      <c r="P97" s="4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</row>
    <row r="98" spans="1:32" ht="15.75" customHeight="1" x14ac:dyDescent="0.2">
      <c r="A98" s="60"/>
      <c r="B98" s="60"/>
      <c r="C98" s="3"/>
      <c r="D98" s="3"/>
      <c r="E98" s="3"/>
      <c r="F98" s="4"/>
      <c r="G98" s="3"/>
      <c r="H98" s="3"/>
      <c r="I98" s="3"/>
      <c r="J98" s="3"/>
      <c r="K98" s="61"/>
      <c r="L98" s="61"/>
      <c r="M98" s="61"/>
      <c r="N98" s="4"/>
      <c r="O98" s="4"/>
      <c r="P98" s="4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</row>
    <row r="99" spans="1:32" ht="15.75" customHeight="1" x14ac:dyDescent="0.2">
      <c r="A99" s="60"/>
      <c r="B99" s="60"/>
      <c r="C99" s="3"/>
      <c r="D99" s="3"/>
      <c r="E99" s="3"/>
      <c r="F99" s="4"/>
      <c r="G99" s="3"/>
      <c r="H99" s="3"/>
      <c r="I99" s="3"/>
      <c r="J99" s="3"/>
      <c r="K99" s="61"/>
      <c r="L99" s="61"/>
      <c r="M99" s="61"/>
      <c r="N99" s="4"/>
      <c r="O99" s="4"/>
      <c r="P99" s="4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</row>
    <row r="100" spans="1:32" ht="15.75" customHeight="1" x14ac:dyDescent="0.2">
      <c r="A100" s="60"/>
      <c r="B100" s="60"/>
      <c r="C100" s="3"/>
      <c r="D100" s="3"/>
      <c r="E100" s="3"/>
      <c r="F100" s="4"/>
      <c r="G100" s="3"/>
      <c r="H100" s="3"/>
      <c r="I100" s="3"/>
      <c r="J100" s="3"/>
      <c r="K100" s="61"/>
      <c r="L100" s="61"/>
      <c r="M100" s="61"/>
      <c r="N100" s="4"/>
      <c r="O100" s="4"/>
      <c r="P100" s="4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</row>
    <row r="101" spans="1:32" ht="15.75" customHeight="1" x14ac:dyDescent="0.2">
      <c r="A101" s="60"/>
      <c r="B101" s="60"/>
      <c r="C101" s="3"/>
      <c r="D101" s="3"/>
      <c r="E101" s="3"/>
      <c r="F101" s="4"/>
      <c r="G101" s="3"/>
      <c r="H101" s="3"/>
      <c r="I101" s="3"/>
      <c r="J101" s="3"/>
      <c r="K101" s="61"/>
      <c r="L101" s="61"/>
      <c r="M101" s="61"/>
      <c r="N101" s="4"/>
      <c r="O101" s="4"/>
      <c r="P101" s="4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</row>
    <row r="102" spans="1:32" ht="15.75" customHeight="1" x14ac:dyDescent="0.2">
      <c r="A102" s="60"/>
      <c r="B102" s="60"/>
      <c r="C102" s="3"/>
      <c r="D102" s="3"/>
      <c r="E102" s="3"/>
      <c r="F102" s="4"/>
      <c r="G102" s="3"/>
      <c r="H102" s="3"/>
      <c r="I102" s="3"/>
      <c r="J102" s="3"/>
      <c r="K102" s="61"/>
      <c r="L102" s="61"/>
      <c r="M102" s="61"/>
      <c r="N102" s="4"/>
      <c r="O102" s="4"/>
      <c r="P102" s="4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</row>
    <row r="103" spans="1:32" ht="15.75" customHeight="1" x14ac:dyDescent="0.2">
      <c r="A103" s="60"/>
      <c r="B103" s="60"/>
      <c r="C103" s="3"/>
      <c r="D103" s="3"/>
      <c r="E103" s="3"/>
      <c r="F103" s="4"/>
      <c r="G103" s="3"/>
      <c r="H103" s="3"/>
      <c r="I103" s="3"/>
      <c r="J103" s="3"/>
      <c r="K103" s="61"/>
      <c r="L103" s="61"/>
      <c r="M103" s="61"/>
      <c r="N103" s="4"/>
      <c r="O103" s="4"/>
      <c r="P103" s="4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</row>
    <row r="104" spans="1:32" ht="15.75" customHeight="1" x14ac:dyDescent="0.2">
      <c r="A104" s="60"/>
      <c r="B104" s="60"/>
      <c r="C104" s="3"/>
      <c r="D104" s="3"/>
      <c r="E104" s="3"/>
      <c r="F104" s="4"/>
      <c r="G104" s="3"/>
      <c r="H104" s="3"/>
      <c r="I104" s="3"/>
      <c r="J104" s="3"/>
      <c r="K104" s="61"/>
      <c r="L104" s="61"/>
      <c r="M104" s="61"/>
      <c r="N104" s="4"/>
      <c r="O104" s="4"/>
      <c r="P104" s="4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</row>
    <row r="105" spans="1:32" ht="15.75" customHeight="1" x14ac:dyDescent="0.2">
      <c r="A105" s="60"/>
      <c r="B105" s="60"/>
      <c r="C105" s="3"/>
      <c r="D105" s="3"/>
      <c r="E105" s="3"/>
      <c r="F105" s="4"/>
      <c r="G105" s="3"/>
      <c r="H105" s="3"/>
      <c r="I105" s="3"/>
      <c r="J105" s="3"/>
      <c r="K105" s="61"/>
      <c r="L105" s="61"/>
      <c r="M105" s="61"/>
      <c r="N105" s="4"/>
      <c r="O105" s="4"/>
      <c r="P105" s="4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</row>
    <row r="106" spans="1:32" ht="15.75" customHeight="1" x14ac:dyDescent="0.2">
      <c r="A106" s="60"/>
      <c r="B106" s="60"/>
      <c r="C106" s="3"/>
      <c r="D106" s="3"/>
      <c r="E106" s="3"/>
      <c r="F106" s="4"/>
      <c r="G106" s="3"/>
      <c r="H106" s="3"/>
      <c r="I106" s="3"/>
      <c r="J106" s="3"/>
      <c r="K106" s="61"/>
      <c r="L106" s="61"/>
      <c r="M106" s="61"/>
      <c r="N106" s="4"/>
      <c r="O106" s="4"/>
      <c r="P106" s="4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</row>
    <row r="107" spans="1:32" ht="15.75" customHeight="1" x14ac:dyDescent="0.2">
      <c r="A107" s="60"/>
      <c r="B107" s="60"/>
      <c r="C107" s="3"/>
      <c r="D107" s="3"/>
      <c r="E107" s="3"/>
      <c r="F107" s="4"/>
      <c r="G107" s="3"/>
      <c r="H107" s="3"/>
      <c r="I107" s="3"/>
      <c r="J107" s="3"/>
      <c r="K107" s="61"/>
      <c r="L107" s="61"/>
      <c r="M107" s="61"/>
      <c r="N107" s="4"/>
      <c r="O107" s="4"/>
      <c r="P107" s="4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</row>
    <row r="108" spans="1:32" ht="15.75" customHeight="1" x14ac:dyDescent="0.2">
      <c r="A108" s="60"/>
      <c r="B108" s="60"/>
      <c r="C108" s="3"/>
      <c r="D108" s="3"/>
      <c r="E108" s="3"/>
      <c r="F108" s="4"/>
      <c r="G108" s="3"/>
      <c r="H108" s="3"/>
      <c r="I108" s="3"/>
      <c r="J108" s="3"/>
      <c r="K108" s="61"/>
      <c r="L108" s="61"/>
      <c r="M108" s="61"/>
      <c r="N108" s="4"/>
      <c r="O108" s="4"/>
      <c r="P108" s="4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</row>
    <row r="109" spans="1:32" ht="15.75" customHeight="1" x14ac:dyDescent="0.2">
      <c r="A109" s="60"/>
      <c r="B109" s="60"/>
      <c r="C109" s="3"/>
      <c r="D109" s="3"/>
      <c r="E109" s="3"/>
      <c r="F109" s="4"/>
      <c r="G109" s="3"/>
      <c r="H109" s="3"/>
      <c r="I109" s="3"/>
      <c r="J109" s="3"/>
      <c r="K109" s="61"/>
      <c r="L109" s="61"/>
      <c r="M109" s="61"/>
      <c r="N109" s="4"/>
      <c r="O109" s="4"/>
      <c r="P109" s="4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</row>
    <row r="110" spans="1:32" ht="15.75" customHeight="1" x14ac:dyDescent="0.2">
      <c r="A110" s="60"/>
      <c r="B110" s="60"/>
      <c r="C110" s="3"/>
      <c r="D110" s="3"/>
      <c r="E110" s="3"/>
      <c r="F110" s="4"/>
      <c r="G110" s="3"/>
      <c r="H110" s="3"/>
      <c r="I110" s="3"/>
      <c r="J110" s="3"/>
      <c r="K110" s="61"/>
      <c r="L110" s="61"/>
      <c r="M110" s="61"/>
      <c r="N110" s="4"/>
      <c r="O110" s="4"/>
      <c r="P110" s="4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</row>
    <row r="111" spans="1:32" ht="15.75" customHeight="1" x14ac:dyDescent="0.2">
      <c r="A111" s="60"/>
      <c r="B111" s="60"/>
      <c r="C111" s="3"/>
      <c r="D111" s="3"/>
      <c r="E111" s="3"/>
      <c r="F111" s="4"/>
      <c r="G111" s="3"/>
      <c r="H111" s="3"/>
      <c r="I111" s="3"/>
      <c r="J111" s="3"/>
      <c r="K111" s="61"/>
      <c r="L111" s="61"/>
      <c r="M111" s="61"/>
      <c r="N111" s="4"/>
      <c r="O111" s="4"/>
      <c r="P111" s="4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</row>
    <row r="112" spans="1:32" ht="15.75" customHeight="1" x14ac:dyDescent="0.2">
      <c r="A112" s="60"/>
      <c r="B112" s="60"/>
      <c r="C112" s="3"/>
      <c r="D112" s="3"/>
      <c r="E112" s="3"/>
      <c r="F112" s="4"/>
      <c r="G112" s="3"/>
      <c r="H112" s="3"/>
      <c r="I112" s="3"/>
      <c r="J112" s="3"/>
      <c r="K112" s="61"/>
      <c r="L112" s="61"/>
      <c r="M112" s="61"/>
      <c r="N112" s="4"/>
      <c r="O112" s="4"/>
      <c r="P112" s="4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 spans="1:32" ht="15.75" customHeight="1" x14ac:dyDescent="0.2">
      <c r="A113" s="60"/>
      <c r="B113" s="60"/>
      <c r="C113" s="3"/>
      <c r="D113" s="3"/>
      <c r="E113" s="3"/>
      <c r="F113" s="4"/>
      <c r="G113" s="3"/>
      <c r="H113" s="3"/>
      <c r="I113" s="3"/>
      <c r="J113" s="3"/>
      <c r="K113" s="61"/>
      <c r="L113" s="61"/>
      <c r="M113" s="61"/>
      <c r="N113" s="4"/>
      <c r="O113" s="4"/>
      <c r="P113" s="4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</row>
    <row r="114" spans="1:32" ht="15.75" customHeight="1" x14ac:dyDescent="0.2">
      <c r="A114" s="60"/>
      <c r="B114" s="60"/>
      <c r="C114" s="3"/>
      <c r="D114" s="3"/>
      <c r="E114" s="3"/>
      <c r="F114" s="4"/>
      <c r="G114" s="3"/>
      <c r="H114" s="3"/>
      <c r="I114" s="3"/>
      <c r="J114" s="3"/>
      <c r="K114" s="61"/>
      <c r="L114" s="61"/>
      <c r="M114" s="61"/>
      <c r="N114" s="4"/>
      <c r="O114" s="4"/>
      <c r="P114" s="4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</row>
    <row r="115" spans="1:32" ht="15.75" customHeight="1" x14ac:dyDescent="0.2">
      <c r="A115" s="60"/>
      <c r="B115" s="60"/>
      <c r="C115" s="3"/>
      <c r="D115" s="3"/>
      <c r="E115" s="3"/>
      <c r="F115" s="4"/>
      <c r="G115" s="3"/>
      <c r="H115" s="3"/>
      <c r="I115" s="3"/>
      <c r="J115" s="3"/>
      <c r="K115" s="61"/>
      <c r="L115" s="61"/>
      <c r="M115" s="61"/>
      <c r="N115" s="4"/>
      <c r="O115" s="4"/>
      <c r="P115" s="4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</row>
    <row r="116" spans="1:32" ht="15.75" customHeight="1" x14ac:dyDescent="0.2">
      <c r="A116" s="60"/>
      <c r="B116" s="60"/>
      <c r="C116" s="3"/>
      <c r="D116" s="3"/>
      <c r="E116" s="3"/>
      <c r="F116" s="4"/>
      <c r="G116" s="3"/>
      <c r="H116" s="3"/>
      <c r="I116" s="3"/>
      <c r="J116" s="3"/>
      <c r="K116" s="61"/>
      <c r="L116" s="61"/>
      <c r="M116" s="61"/>
      <c r="N116" s="4"/>
      <c r="O116" s="4"/>
      <c r="P116" s="4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</row>
    <row r="117" spans="1:32" ht="15.75" customHeight="1" x14ac:dyDescent="0.2">
      <c r="A117" s="60"/>
      <c r="B117" s="60"/>
      <c r="C117" s="3"/>
      <c r="D117" s="3"/>
      <c r="E117" s="3"/>
      <c r="F117" s="4"/>
      <c r="G117" s="3"/>
      <c r="H117" s="3"/>
      <c r="I117" s="3"/>
      <c r="J117" s="3"/>
      <c r="K117" s="61"/>
      <c r="L117" s="61"/>
      <c r="M117" s="61"/>
      <c r="N117" s="4"/>
      <c r="O117" s="4"/>
      <c r="P117" s="4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</row>
    <row r="118" spans="1:32" ht="15.75" customHeight="1" x14ac:dyDescent="0.2">
      <c r="A118" s="60"/>
      <c r="B118" s="60"/>
      <c r="C118" s="3"/>
      <c r="D118" s="3"/>
      <c r="E118" s="3"/>
      <c r="F118" s="4"/>
      <c r="G118" s="3"/>
      <c r="H118" s="3"/>
      <c r="I118" s="3"/>
      <c r="J118" s="3"/>
      <c r="K118" s="61"/>
      <c r="L118" s="61"/>
      <c r="M118" s="61"/>
      <c r="N118" s="4"/>
      <c r="O118" s="4"/>
      <c r="P118" s="4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</row>
    <row r="119" spans="1:32" ht="15.75" customHeight="1" x14ac:dyDescent="0.2">
      <c r="A119" s="60"/>
      <c r="B119" s="60"/>
      <c r="C119" s="3"/>
      <c r="D119" s="3"/>
      <c r="E119" s="3"/>
      <c r="F119" s="4"/>
      <c r="G119" s="3"/>
      <c r="H119" s="3"/>
      <c r="I119" s="3"/>
      <c r="J119" s="3"/>
      <c r="K119" s="61"/>
      <c r="L119" s="61"/>
      <c r="M119" s="61"/>
      <c r="N119" s="4"/>
      <c r="O119" s="4"/>
      <c r="P119" s="4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</row>
    <row r="120" spans="1:32" ht="15.75" customHeight="1" x14ac:dyDescent="0.2">
      <c r="A120" s="60"/>
      <c r="B120" s="60"/>
      <c r="C120" s="3"/>
      <c r="D120" s="3"/>
      <c r="E120" s="3"/>
      <c r="F120" s="4"/>
      <c r="G120" s="3"/>
      <c r="H120" s="3"/>
      <c r="I120" s="3"/>
      <c r="J120" s="3"/>
      <c r="K120" s="61"/>
      <c r="L120" s="61"/>
      <c r="M120" s="61"/>
      <c r="N120" s="4"/>
      <c r="O120" s="4"/>
      <c r="P120" s="4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</row>
    <row r="121" spans="1:32" ht="15.75" customHeight="1" x14ac:dyDescent="0.2">
      <c r="A121" s="60"/>
      <c r="B121" s="60"/>
      <c r="C121" s="3"/>
      <c r="D121" s="3"/>
      <c r="E121" s="3"/>
      <c r="F121" s="4"/>
      <c r="G121" s="3"/>
      <c r="H121" s="3"/>
      <c r="I121" s="3"/>
      <c r="J121" s="3"/>
      <c r="K121" s="61"/>
      <c r="L121" s="61"/>
      <c r="M121" s="61"/>
      <c r="N121" s="4"/>
      <c r="O121" s="4"/>
      <c r="P121" s="4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</row>
    <row r="122" spans="1:32" ht="15.75" customHeight="1" x14ac:dyDescent="0.2">
      <c r="A122" s="60"/>
      <c r="B122" s="60"/>
      <c r="C122" s="3"/>
      <c r="D122" s="3"/>
      <c r="E122" s="3"/>
      <c r="F122" s="4"/>
      <c r="G122" s="3"/>
      <c r="H122" s="3"/>
      <c r="I122" s="3"/>
      <c r="J122" s="3"/>
      <c r="K122" s="61"/>
      <c r="L122" s="61"/>
      <c r="M122" s="61"/>
      <c r="N122" s="4"/>
      <c r="O122" s="4"/>
      <c r="P122" s="4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</row>
    <row r="123" spans="1:32" ht="15.75" customHeight="1" x14ac:dyDescent="0.2">
      <c r="A123" s="60"/>
      <c r="B123" s="60"/>
      <c r="C123" s="3"/>
      <c r="D123" s="3"/>
      <c r="E123" s="3"/>
      <c r="F123" s="4"/>
      <c r="G123" s="3"/>
      <c r="H123" s="3"/>
      <c r="I123" s="3"/>
      <c r="J123" s="3"/>
      <c r="K123" s="61"/>
      <c r="L123" s="61"/>
      <c r="M123" s="61"/>
      <c r="N123" s="4"/>
      <c r="O123" s="4"/>
      <c r="P123" s="4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</row>
    <row r="124" spans="1:32" ht="15.75" customHeight="1" x14ac:dyDescent="0.2">
      <c r="A124" s="60"/>
      <c r="B124" s="60"/>
      <c r="C124" s="3"/>
      <c r="D124" s="3"/>
      <c r="E124" s="3"/>
      <c r="F124" s="4"/>
      <c r="G124" s="3"/>
      <c r="H124" s="3"/>
      <c r="I124" s="3"/>
      <c r="J124" s="3"/>
      <c r="K124" s="61"/>
      <c r="L124" s="61"/>
      <c r="M124" s="61"/>
      <c r="N124" s="4"/>
      <c r="O124" s="4"/>
      <c r="P124" s="4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</row>
    <row r="125" spans="1:32" ht="15.75" customHeight="1" x14ac:dyDescent="0.2">
      <c r="A125" s="60"/>
      <c r="B125" s="60"/>
      <c r="C125" s="3"/>
      <c r="D125" s="3"/>
      <c r="E125" s="3"/>
      <c r="F125" s="4"/>
      <c r="G125" s="3"/>
      <c r="H125" s="3"/>
      <c r="I125" s="3"/>
      <c r="J125" s="3"/>
      <c r="K125" s="61"/>
      <c r="L125" s="61"/>
      <c r="M125" s="61"/>
      <c r="N125" s="4"/>
      <c r="O125" s="4"/>
      <c r="P125" s="4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</row>
    <row r="126" spans="1:32" ht="15.75" customHeight="1" x14ac:dyDescent="0.2">
      <c r="A126" s="60"/>
      <c r="B126" s="60"/>
      <c r="C126" s="3"/>
      <c r="D126" s="3"/>
      <c r="E126" s="3"/>
      <c r="F126" s="4"/>
      <c r="G126" s="3"/>
      <c r="H126" s="3"/>
      <c r="I126" s="3"/>
      <c r="J126" s="3"/>
      <c r="K126" s="61"/>
      <c r="L126" s="61"/>
      <c r="M126" s="61"/>
      <c r="N126" s="4"/>
      <c r="O126" s="4"/>
      <c r="P126" s="4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</row>
    <row r="127" spans="1:32" ht="15.75" customHeight="1" x14ac:dyDescent="0.2">
      <c r="A127" s="60"/>
      <c r="B127" s="60"/>
      <c r="C127" s="3"/>
      <c r="D127" s="3"/>
      <c r="E127" s="3"/>
      <c r="F127" s="4"/>
      <c r="G127" s="3"/>
      <c r="H127" s="3"/>
      <c r="I127" s="3"/>
      <c r="J127" s="3"/>
      <c r="K127" s="61"/>
      <c r="L127" s="61"/>
      <c r="M127" s="61"/>
      <c r="N127" s="4"/>
      <c r="O127" s="4"/>
      <c r="P127" s="4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</row>
    <row r="128" spans="1:32" ht="15.75" customHeight="1" x14ac:dyDescent="0.2">
      <c r="A128" s="60"/>
      <c r="B128" s="60"/>
      <c r="C128" s="3"/>
      <c r="D128" s="3"/>
      <c r="E128" s="3"/>
      <c r="F128" s="4"/>
      <c r="G128" s="3"/>
      <c r="H128" s="3"/>
      <c r="I128" s="3"/>
      <c r="J128" s="3"/>
      <c r="K128" s="61"/>
      <c r="L128" s="61"/>
      <c r="M128" s="61"/>
      <c r="N128" s="4"/>
      <c r="O128" s="4"/>
      <c r="P128" s="4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</row>
    <row r="129" spans="1:32" ht="15.75" customHeight="1" x14ac:dyDescent="0.2">
      <c r="A129" s="60"/>
      <c r="B129" s="60"/>
      <c r="C129" s="3"/>
      <c r="D129" s="3"/>
      <c r="E129" s="3"/>
      <c r="F129" s="4"/>
      <c r="G129" s="3"/>
      <c r="H129" s="3"/>
      <c r="I129" s="3"/>
      <c r="J129" s="3"/>
      <c r="K129" s="61"/>
      <c r="L129" s="61"/>
      <c r="M129" s="61"/>
      <c r="N129" s="4"/>
      <c r="O129" s="4"/>
      <c r="P129" s="4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</row>
    <row r="130" spans="1:32" ht="15.75" customHeight="1" x14ac:dyDescent="0.2">
      <c r="A130" s="60"/>
      <c r="B130" s="60"/>
      <c r="C130" s="3"/>
      <c r="D130" s="3"/>
      <c r="E130" s="3"/>
      <c r="F130" s="4"/>
      <c r="G130" s="3"/>
      <c r="H130" s="3"/>
      <c r="I130" s="3"/>
      <c r="J130" s="3"/>
      <c r="K130" s="61"/>
      <c r="L130" s="61"/>
      <c r="M130" s="61"/>
      <c r="N130" s="4"/>
      <c r="O130" s="4"/>
      <c r="P130" s="4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</row>
    <row r="131" spans="1:32" ht="15.75" customHeight="1" x14ac:dyDescent="0.2">
      <c r="A131" s="60"/>
      <c r="B131" s="60"/>
      <c r="C131" s="3"/>
      <c r="D131" s="3"/>
      <c r="E131" s="3"/>
      <c r="F131" s="4"/>
      <c r="G131" s="3"/>
      <c r="H131" s="3"/>
      <c r="I131" s="3"/>
      <c r="J131" s="3"/>
      <c r="K131" s="61"/>
      <c r="L131" s="61"/>
      <c r="M131" s="61"/>
      <c r="N131" s="4"/>
      <c r="O131" s="4"/>
      <c r="P131" s="4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</row>
    <row r="132" spans="1:32" ht="15.75" customHeight="1" x14ac:dyDescent="0.2">
      <c r="A132" s="60"/>
      <c r="B132" s="60"/>
      <c r="C132" s="3"/>
      <c r="D132" s="3"/>
      <c r="E132" s="3"/>
      <c r="F132" s="4"/>
      <c r="G132" s="3"/>
      <c r="H132" s="3"/>
      <c r="I132" s="3"/>
      <c r="J132" s="3"/>
      <c r="K132" s="61"/>
      <c r="L132" s="61"/>
      <c r="M132" s="61"/>
      <c r="N132" s="4"/>
      <c r="O132" s="4"/>
      <c r="P132" s="4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</row>
    <row r="133" spans="1:32" ht="15.75" customHeight="1" x14ac:dyDescent="0.2">
      <c r="A133" s="60"/>
      <c r="B133" s="60"/>
      <c r="C133" s="3"/>
      <c r="D133" s="3"/>
      <c r="E133" s="3"/>
      <c r="F133" s="4"/>
      <c r="G133" s="3"/>
      <c r="H133" s="3"/>
      <c r="I133" s="3"/>
      <c r="J133" s="3"/>
      <c r="K133" s="61"/>
      <c r="L133" s="61"/>
      <c r="M133" s="61"/>
      <c r="N133" s="4"/>
      <c r="O133" s="4"/>
      <c r="P133" s="4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</row>
    <row r="134" spans="1:32" ht="15.75" customHeight="1" x14ac:dyDescent="0.2">
      <c r="A134" s="60"/>
      <c r="B134" s="60"/>
      <c r="C134" s="3"/>
      <c r="D134" s="3"/>
      <c r="E134" s="3"/>
      <c r="F134" s="4"/>
      <c r="G134" s="3"/>
      <c r="H134" s="3"/>
      <c r="I134" s="3"/>
      <c r="J134" s="3"/>
      <c r="K134" s="61"/>
      <c r="L134" s="61"/>
      <c r="M134" s="61"/>
      <c r="N134" s="4"/>
      <c r="O134" s="4"/>
      <c r="P134" s="4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</row>
    <row r="135" spans="1:32" ht="15.75" customHeight="1" x14ac:dyDescent="0.2">
      <c r="A135" s="60"/>
      <c r="B135" s="60"/>
      <c r="C135" s="3"/>
      <c r="D135" s="3"/>
      <c r="E135" s="3"/>
      <c r="F135" s="4"/>
      <c r="G135" s="3"/>
      <c r="H135" s="3"/>
      <c r="I135" s="3"/>
      <c r="J135" s="3"/>
      <c r="K135" s="61"/>
      <c r="L135" s="61"/>
      <c r="M135" s="61"/>
      <c r="N135" s="4"/>
      <c r="O135" s="4"/>
      <c r="P135" s="4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</row>
    <row r="136" spans="1:32" ht="15.75" customHeight="1" x14ac:dyDescent="0.2">
      <c r="A136" s="60"/>
      <c r="B136" s="60"/>
      <c r="C136" s="3"/>
      <c r="D136" s="3"/>
      <c r="E136" s="3"/>
      <c r="F136" s="4"/>
      <c r="G136" s="3"/>
      <c r="H136" s="3"/>
      <c r="I136" s="3"/>
      <c r="J136" s="3"/>
      <c r="K136" s="61"/>
      <c r="L136" s="61"/>
      <c r="M136" s="61"/>
      <c r="N136" s="4"/>
      <c r="O136" s="4"/>
      <c r="P136" s="4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spans="1:32" ht="15.75" customHeight="1" x14ac:dyDescent="0.2">
      <c r="A137" s="60"/>
      <c r="B137" s="60"/>
      <c r="C137" s="3"/>
      <c r="D137" s="3"/>
      <c r="E137" s="3"/>
      <c r="F137" s="4"/>
      <c r="G137" s="3"/>
      <c r="H137" s="3"/>
      <c r="I137" s="3"/>
      <c r="J137" s="3"/>
      <c r="K137" s="61"/>
      <c r="L137" s="61"/>
      <c r="M137" s="61"/>
      <c r="N137" s="4"/>
      <c r="O137" s="4"/>
      <c r="P137" s="4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</row>
    <row r="138" spans="1:32" ht="15.75" customHeight="1" x14ac:dyDescent="0.2">
      <c r="A138" s="60"/>
      <c r="B138" s="60"/>
      <c r="C138" s="3"/>
      <c r="D138" s="3"/>
      <c r="E138" s="3"/>
      <c r="F138" s="4"/>
      <c r="G138" s="3"/>
      <c r="H138" s="3"/>
      <c r="I138" s="3"/>
      <c r="J138" s="3"/>
      <c r="K138" s="61"/>
      <c r="L138" s="61"/>
      <c r="M138" s="61"/>
      <c r="N138" s="4"/>
      <c r="O138" s="4"/>
      <c r="P138" s="4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</row>
    <row r="139" spans="1:32" ht="15.75" customHeight="1" x14ac:dyDescent="0.2">
      <c r="A139" s="60"/>
      <c r="B139" s="60"/>
      <c r="C139" s="3"/>
      <c r="D139" s="3"/>
      <c r="E139" s="3"/>
      <c r="F139" s="4"/>
      <c r="G139" s="3"/>
      <c r="H139" s="3"/>
      <c r="I139" s="3"/>
      <c r="J139" s="3"/>
      <c r="K139" s="61"/>
      <c r="L139" s="61"/>
      <c r="M139" s="61"/>
      <c r="N139" s="4"/>
      <c r="O139" s="4"/>
      <c r="P139" s="4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</row>
    <row r="140" spans="1:32" ht="15.75" customHeight="1" x14ac:dyDescent="0.2">
      <c r="A140" s="60"/>
      <c r="B140" s="60"/>
      <c r="C140" s="3"/>
      <c r="D140" s="3"/>
      <c r="E140" s="3"/>
      <c r="F140" s="4"/>
      <c r="G140" s="3"/>
      <c r="H140" s="3"/>
      <c r="I140" s="3"/>
      <c r="J140" s="3"/>
      <c r="K140" s="61"/>
      <c r="L140" s="61"/>
      <c r="M140" s="61"/>
      <c r="N140" s="4"/>
      <c r="O140" s="4"/>
      <c r="P140" s="4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</row>
    <row r="141" spans="1:32" ht="15.75" customHeight="1" x14ac:dyDescent="0.2">
      <c r="A141" s="60"/>
      <c r="B141" s="60"/>
      <c r="C141" s="3"/>
      <c r="D141" s="3"/>
      <c r="E141" s="3"/>
      <c r="F141" s="4"/>
      <c r="G141" s="3"/>
      <c r="H141" s="3"/>
      <c r="I141" s="3"/>
      <c r="J141" s="3"/>
      <c r="K141" s="61"/>
      <c r="L141" s="61"/>
      <c r="M141" s="61"/>
      <c r="N141" s="4"/>
      <c r="O141" s="4"/>
      <c r="P141" s="4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</row>
    <row r="142" spans="1:32" ht="15.75" customHeight="1" x14ac:dyDescent="0.2">
      <c r="A142" s="60"/>
      <c r="B142" s="60"/>
      <c r="C142" s="3"/>
      <c r="D142" s="3"/>
      <c r="E142" s="3"/>
      <c r="F142" s="4"/>
      <c r="G142" s="3"/>
      <c r="H142" s="3"/>
      <c r="I142" s="3"/>
      <c r="J142" s="3"/>
      <c r="K142" s="61"/>
      <c r="L142" s="61"/>
      <c r="M142" s="61"/>
      <c r="N142" s="4"/>
      <c r="O142" s="4"/>
      <c r="P142" s="4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</row>
    <row r="143" spans="1:32" ht="15.75" customHeight="1" x14ac:dyDescent="0.2">
      <c r="A143" s="60"/>
      <c r="B143" s="60"/>
      <c r="C143" s="3"/>
      <c r="D143" s="3"/>
      <c r="E143" s="3"/>
      <c r="F143" s="4"/>
      <c r="G143" s="3"/>
      <c r="H143" s="3"/>
      <c r="I143" s="3"/>
      <c r="J143" s="3"/>
      <c r="K143" s="61"/>
      <c r="L143" s="61"/>
      <c r="M143" s="61"/>
      <c r="N143" s="4"/>
      <c r="O143" s="4"/>
      <c r="P143" s="4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</row>
    <row r="144" spans="1:32" ht="15.75" customHeight="1" x14ac:dyDescent="0.2">
      <c r="A144" s="60"/>
      <c r="B144" s="60"/>
      <c r="C144" s="3"/>
      <c r="D144" s="3"/>
      <c r="E144" s="3"/>
      <c r="F144" s="4"/>
      <c r="G144" s="3"/>
      <c r="H144" s="3"/>
      <c r="I144" s="3"/>
      <c r="J144" s="3"/>
      <c r="K144" s="61"/>
      <c r="L144" s="61"/>
      <c r="M144" s="61"/>
      <c r="N144" s="4"/>
      <c r="O144" s="4"/>
      <c r="P144" s="4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</row>
    <row r="145" spans="1:32" ht="15.75" customHeight="1" x14ac:dyDescent="0.2">
      <c r="A145" s="60"/>
      <c r="B145" s="60"/>
      <c r="C145" s="3"/>
      <c r="D145" s="3"/>
      <c r="E145" s="3"/>
      <c r="F145" s="4"/>
      <c r="G145" s="3"/>
      <c r="H145" s="3"/>
      <c r="I145" s="3"/>
      <c r="J145" s="3"/>
      <c r="K145" s="61"/>
      <c r="L145" s="61"/>
      <c r="M145" s="61"/>
      <c r="N145" s="4"/>
      <c r="O145" s="4"/>
      <c r="P145" s="4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</row>
    <row r="146" spans="1:32" ht="15.75" customHeight="1" x14ac:dyDescent="0.2">
      <c r="A146" s="60"/>
      <c r="B146" s="60"/>
      <c r="C146" s="3"/>
      <c r="D146" s="3"/>
      <c r="E146" s="3"/>
      <c r="F146" s="4"/>
      <c r="G146" s="3"/>
      <c r="H146" s="3"/>
      <c r="I146" s="3"/>
      <c r="J146" s="3"/>
      <c r="K146" s="61"/>
      <c r="L146" s="61"/>
      <c r="M146" s="61"/>
      <c r="N146" s="4"/>
      <c r="O146" s="4"/>
      <c r="P146" s="4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</row>
    <row r="147" spans="1:32" ht="15.75" customHeight="1" x14ac:dyDescent="0.2">
      <c r="A147" s="60"/>
      <c r="B147" s="60"/>
      <c r="C147" s="3"/>
      <c r="D147" s="3"/>
      <c r="E147" s="3"/>
      <c r="F147" s="4"/>
      <c r="G147" s="3"/>
      <c r="H147" s="3"/>
      <c r="I147" s="3"/>
      <c r="J147" s="3"/>
      <c r="K147" s="61"/>
      <c r="L147" s="61"/>
      <c r="M147" s="61"/>
      <c r="N147" s="4"/>
      <c r="O147" s="4"/>
      <c r="P147" s="4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</row>
    <row r="148" spans="1:32" ht="15.75" customHeight="1" x14ac:dyDescent="0.2">
      <c r="A148" s="60"/>
      <c r="B148" s="60"/>
      <c r="C148" s="3"/>
      <c r="D148" s="3"/>
      <c r="E148" s="3"/>
      <c r="F148" s="4"/>
      <c r="G148" s="3"/>
      <c r="H148" s="3"/>
      <c r="I148" s="3"/>
      <c r="J148" s="3"/>
      <c r="K148" s="61"/>
      <c r="L148" s="61"/>
      <c r="M148" s="61"/>
      <c r="N148" s="4"/>
      <c r="O148" s="4"/>
      <c r="P148" s="4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</row>
    <row r="149" spans="1:32" ht="15.75" customHeight="1" x14ac:dyDescent="0.2">
      <c r="A149" s="60"/>
      <c r="B149" s="60"/>
      <c r="C149" s="3"/>
      <c r="D149" s="3"/>
      <c r="E149" s="3"/>
      <c r="F149" s="4"/>
      <c r="G149" s="3"/>
      <c r="H149" s="3"/>
      <c r="I149" s="3"/>
      <c r="J149" s="3"/>
      <c r="K149" s="61"/>
      <c r="L149" s="61"/>
      <c r="M149" s="61"/>
      <c r="N149" s="4"/>
      <c r="O149" s="4"/>
      <c r="P149" s="4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</row>
    <row r="150" spans="1:32" ht="15.75" customHeight="1" x14ac:dyDescent="0.2">
      <c r="A150" s="60"/>
      <c r="B150" s="60"/>
      <c r="C150" s="3"/>
      <c r="D150" s="3"/>
      <c r="E150" s="3"/>
      <c r="F150" s="4"/>
      <c r="G150" s="3"/>
      <c r="H150" s="3"/>
      <c r="I150" s="3"/>
      <c r="J150" s="3"/>
      <c r="K150" s="61"/>
      <c r="L150" s="61"/>
      <c r="M150" s="61"/>
      <c r="N150" s="4"/>
      <c r="O150" s="4"/>
      <c r="P150" s="4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</row>
    <row r="151" spans="1:32" ht="15.75" customHeight="1" x14ac:dyDescent="0.2">
      <c r="A151" s="60"/>
      <c r="B151" s="60"/>
      <c r="C151" s="3"/>
      <c r="D151" s="3"/>
      <c r="E151" s="3"/>
      <c r="F151" s="4"/>
      <c r="G151" s="3"/>
      <c r="H151" s="3"/>
      <c r="I151" s="3"/>
      <c r="J151" s="3"/>
      <c r="K151" s="61"/>
      <c r="L151" s="61"/>
      <c r="M151" s="61"/>
      <c r="N151" s="4"/>
      <c r="O151" s="4"/>
      <c r="P151" s="4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</row>
    <row r="152" spans="1:32" ht="15.75" customHeight="1" x14ac:dyDescent="0.2">
      <c r="A152" s="60"/>
      <c r="B152" s="60"/>
      <c r="C152" s="3"/>
      <c r="D152" s="3"/>
      <c r="E152" s="3"/>
      <c r="F152" s="4"/>
      <c r="G152" s="3"/>
      <c r="H152" s="3"/>
      <c r="I152" s="3"/>
      <c r="J152" s="3"/>
      <c r="K152" s="61"/>
      <c r="L152" s="61"/>
      <c r="M152" s="61"/>
      <c r="N152" s="4"/>
      <c r="O152" s="4"/>
      <c r="P152" s="4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</row>
    <row r="153" spans="1:32" ht="15.75" customHeight="1" x14ac:dyDescent="0.2">
      <c r="A153" s="60"/>
      <c r="B153" s="60"/>
      <c r="C153" s="3"/>
      <c r="D153" s="3"/>
      <c r="E153" s="3"/>
      <c r="F153" s="4"/>
      <c r="G153" s="3"/>
      <c r="H153" s="3"/>
      <c r="I153" s="3"/>
      <c r="J153" s="3"/>
      <c r="K153" s="61"/>
      <c r="L153" s="61"/>
      <c r="M153" s="61"/>
      <c r="N153" s="4"/>
      <c r="O153" s="4"/>
      <c r="P153" s="4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</row>
    <row r="154" spans="1:32" ht="15.75" customHeight="1" x14ac:dyDescent="0.2">
      <c r="A154" s="60"/>
      <c r="B154" s="60"/>
      <c r="C154" s="3"/>
      <c r="D154" s="3"/>
      <c r="E154" s="3"/>
      <c r="F154" s="4"/>
      <c r="G154" s="3"/>
      <c r="H154" s="3"/>
      <c r="I154" s="3"/>
      <c r="J154" s="3"/>
      <c r="K154" s="61"/>
      <c r="L154" s="61"/>
      <c r="M154" s="61"/>
      <c r="N154" s="4"/>
      <c r="O154" s="4"/>
      <c r="P154" s="4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</row>
    <row r="155" spans="1:32" ht="15.75" customHeight="1" x14ac:dyDescent="0.2">
      <c r="A155" s="60"/>
      <c r="B155" s="60"/>
      <c r="C155" s="3"/>
      <c r="D155" s="3"/>
      <c r="E155" s="3"/>
      <c r="F155" s="4"/>
      <c r="G155" s="3"/>
      <c r="H155" s="3"/>
      <c r="I155" s="3"/>
      <c r="J155" s="3"/>
      <c r="K155" s="61"/>
      <c r="L155" s="61"/>
      <c r="M155" s="61"/>
      <c r="N155" s="4"/>
      <c r="O155" s="4"/>
      <c r="P155" s="4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</row>
    <row r="156" spans="1:32" ht="15.75" customHeight="1" x14ac:dyDescent="0.2">
      <c r="A156" s="60"/>
      <c r="B156" s="60"/>
      <c r="C156" s="3"/>
      <c r="D156" s="3"/>
      <c r="E156" s="3"/>
      <c r="F156" s="4"/>
      <c r="G156" s="3"/>
      <c r="H156" s="3"/>
      <c r="I156" s="3"/>
      <c r="J156" s="3"/>
      <c r="K156" s="61"/>
      <c r="L156" s="61"/>
      <c r="M156" s="61"/>
      <c r="N156" s="4"/>
      <c r="O156" s="4"/>
      <c r="P156" s="4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</row>
    <row r="157" spans="1:32" ht="15.75" customHeight="1" x14ac:dyDescent="0.2">
      <c r="A157" s="60"/>
      <c r="B157" s="60"/>
      <c r="C157" s="3"/>
      <c r="D157" s="3"/>
      <c r="E157" s="3"/>
      <c r="F157" s="4"/>
      <c r="G157" s="3"/>
      <c r="H157" s="3"/>
      <c r="I157" s="3"/>
      <c r="J157" s="3"/>
      <c r="K157" s="61"/>
      <c r="L157" s="61"/>
      <c r="M157" s="61"/>
      <c r="N157" s="4"/>
      <c r="O157" s="4"/>
      <c r="P157" s="4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</row>
    <row r="158" spans="1:32" ht="15.75" customHeight="1" x14ac:dyDescent="0.2">
      <c r="A158" s="60"/>
      <c r="B158" s="60"/>
      <c r="C158" s="3"/>
      <c r="D158" s="3"/>
      <c r="E158" s="3"/>
      <c r="F158" s="4"/>
      <c r="G158" s="3"/>
      <c r="H158" s="3"/>
      <c r="I158" s="3"/>
      <c r="J158" s="3"/>
      <c r="K158" s="61"/>
      <c r="L158" s="61"/>
      <c r="M158" s="61"/>
      <c r="N158" s="4"/>
      <c r="O158" s="4"/>
      <c r="P158" s="4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</row>
    <row r="159" spans="1:32" ht="15.75" customHeight="1" x14ac:dyDescent="0.2">
      <c r="A159" s="60"/>
      <c r="B159" s="60"/>
      <c r="C159" s="3"/>
      <c r="D159" s="3"/>
      <c r="E159" s="3"/>
      <c r="F159" s="4"/>
      <c r="G159" s="3"/>
      <c r="H159" s="3"/>
      <c r="I159" s="3"/>
      <c r="J159" s="3"/>
      <c r="K159" s="61"/>
      <c r="L159" s="61"/>
      <c r="M159" s="61"/>
      <c r="N159" s="4"/>
      <c r="O159" s="4"/>
      <c r="P159" s="4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</row>
    <row r="160" spans="1:32" ht="15.75" customHeight="1" x14ac:dyDescent="0.2">
      <c r="A160" s="60"/>
      <c r="B160" s="60"/>
      <c r="C160" s="3"/>
      <c r="D160" s="3"/>
      <c r="E160" s="3"/>
      <c r="F160" s="4"/>
      <c r="G160" s="3"/>
      <c r="H160" s="3"/>
      <c r="I160" s="3"/>
      <c r="J160" s="3"/>
      <c r="K160" s="61"/>
      <c r="L160" s="61"/>
      <c r="M160" s="61"/>
      <c r="N160" s="4"/>
      <c r="O160" s="4"/>
      <c r="P160" s="4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</row>
    <row r="161" spans="1:32" ht="15.75" customHeight="1" x14ac:dyDescent="0.2">
      <c r="A161" s="60"/>
      <c r="B161" s="60"/>
      <c r="C161" s="3"/>
      <c r="D161" s="3"/>
      <c r="E161" s="3"/>
      <c r="F161" s="4"/>
      <c r="G161" s="3"/>
      <c r="H161" s="3"/>
      <c r="I161" s="3"/>
      <c r="J161" s="3"/>
      <c r="K161" s="61"/>
      <c r="L161" s="61"/>
      <c r="M161" s="61"/>
      <c r="N161" s="4"/>
      <c r="O161" s="4"/>
      <c r="P161" s="4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</row>
    <row r="162" spans="1:32" ht="15.75" customHeight="1" x14ac:dyDescent="0.2">
      <c r="A162" s="60"/>
      <c r="B162" s="60"/>
      <c r="C162" s="3"/>
      <c r="D162" s="3"/>
      <c r="E162" s="3"/>
      <c r="F162" s="4"/>
      <c r="G162" s="3"/>
      <c r="H162" s="3"/>
      <c r="I162" s="3"/>
      <c r="J162" s="3"/>
      <c r="K162" s="61"/>
      <c r="L162" s="61"/>
      <c r="M162" s="61"/>
      <c r="N162" s="4"/>
      <c r="O162" s="4"/>
      <c r="P162" s="4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</row>
    <row r="163" spans="1:32" ht="15.75" customHeight="1" x14ac:dyDescent="0.2">
      <c r="A163" s="60"/>
      <c r="B163" s="60"/>
      <c r="C163" s="3"/>
      <c r="D163" s="3"/>
      <c r="E163" s="3"/>
      <c r="F163" s="4"/>
      <c r="G163" s="3"/>
      <c r="H163" s="3"/>
      <c r="I163" s="3"/>
      <c r="J163" s="3"/>
      <c r="K163" s="61"/>
      <c r="L163" s="61"/>
      <c r="M163" s="61"/>
      <c r="N163" s="4"/>
      <c r="O163" s="4"/>
      <c r="P163" s="4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</row>
    <row r="164" spans="1:32" ht="15.75" customHeight="1" x14ac:dyDescent="0.2">
      <c r="A164" s="60"/>
      <c r="B164" s="60"/>
      <c r="C164" s="3"/>
      <c r="D164" s="3"/>
      <c r="E164" s="3"/>
      <c r="F164" s="4"/>
      <c r="G164" s="3"/>
      <c r="H164" s="3"/>
      <c r="I164" s="3"/>
      <c r="J164" s="3"/>
      <c r="K164" s="61"/>
      <c r="L164" s="61"/>
      <c r="M164" s="61"/>
      <c r="N164" s="4"/>
      <c r="O164" s="4"/>
      <c r="P164" s="4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</row>
    <row r="165" spans="1:32" ht="15.75" customHeight="1" x14ac:dyDescent="0.2">
      <c r="A165" s="60"/>
      <c r="B165" s="60"/>
      <c r="C165" s="3"/>
      <c r="D165" s="3"/>
      <c r="E165" s="3"/>
      <c r="F165" s="4"/>
      <c r="G165" s="3"/>
      <c r="H165" s="3"/>
      <c r="I165" s="3"/>
      <c r="J165" s="3"/>
      <c r="K165" s="61"/>
      <c r="L165" s="61"/>
      <c r="M165" s="61"/>
      <c r="N165" s="4"/>
      <c r="O165" s="4"/>
      <c r="P165" s="4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</row>
    <row r="166" spans="1:32" ht="15.75" customHeight="1" x14ac:dyDescent="0.2">
      <c r="A166" s="60"/>
      <c r="B166" s="60"/>
      <c r="C166" s="3"/>
      <c r="D166" s="3"/>
      <c r="E166" s="3"/>
      <c r="F166" s="4"/>
      <c r="G166" s="3"/>
      <c r="H166" s="3"/>
      <c r="I166" s="3"/>
      <c r="J166" s="3"/>
      <c r="K166" s="61"/>
      <c r="L166" s="61"/>
      <c r="M166" s="61"/>
      <c r="N166" s="4"/>
      <c r="O166" s="4"/>
      <c r="P166" s="4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</row>
    <row r="167" spans="1:32" ht="15.75" customHeight="1" x14ac:dyDescent="0.2">
      <c r="A167" s="60"/>
      <c r="B167" s="60"/>
      <c r="C167" s="3"/>
      <c r="D167" s="3"/>
      <c r="E167" s="3"/>
      <c r="F167" s="4"/>
      <c r="G167" s="3"/>
      <c r="H167" s="3"/>
      <c r="I167" s="3"/>
      <c r="J167" s="3"/>
      <c r="K167" s="61"/>
      <c r="L167" s="61"/>
      <c r="M167" s="61"/>
      <c r="N167" s="4"/>
      <c r="O167" s="4"/>
      <c r="P167" s="4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</row>
    <row r="168" spans="1:32" ht="15.75" customHeight="1" x14ac:dyDescent="0.2">
      <c r="A168" s="60"/>
      <c r="B168" s="60"/>
      <c r="C168" s="3"/>
      <c r="D168" s="3"/>
      <c r="E168" s="3"/>
      <c r="F168" s="4"/>
      <c r="G168" s="3"/>
      <c r="H168" s="3"/>
      <c r="I168" s="3"/>
      <c r="J168" s="3"/>
      <c r="K168" s="61"/>
      <c r="L168" s="61"/>
      <c r="M168" s="61"/>
      <c r="N168" s="4"/>
      <c r="O168" s="4"/>
      <c r="P168" s="4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</row>
    <row r="169" spans="1:32" ht="15.75" customHeight="1" x14ac:dyDescent="0.2">
      <c r="A169" s="60"/>
      <c r="B169" s="60"/>
      <c r="C169" s="3"/>
      <c r="D169" s="3"/>
      <c r="E169" s="3"/>
      <c r="F169" s="4"/>
      <c r="G169" s="3"/>
      <c r="H169" s="3"/>
      <c r="I169" s="3"/>
      <c r="J169" s="3"/>
      <c r="K169" s="61"/>
      <c r="L169" s="61"/>
      <c r="M169" s="61"/>
      <c r="N169" s="4"/>
      <c r="O169" s="4"/>
      <c r="P169" s="4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</row>
    <row r="170" spans="1:32" ht="15.75" customHeight="1" x14ac:dyDescent="0.2">
      <c r="A170" s="60"/>
      <c r="B170" s="60"/>
      <c r="C170" s="3"/>
      <c r="D170" s="3"/>
      <c r="E170" s="3"/>
      <c r="F170" s="4"/>
      <c r="G170" s="3"/>
      <c r="H170" s="3"/>
      <c r="I170" s="3"/>
      <c r="J170" s="3"/>
      <c r="K170" s="61"/>
      <c r="L170" s="61"/>
      <c r="M170" s="61"/>
      <c r="N170" s="4"/>
      <c r="O170" s="4"/>
      <c r="P170" s="4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</row>
    <row r="171" spans="1:32" ht="15.75" customHeight="1" x14ac:dyDescent="0.2">
      <c r="A171" s="60"/>
      <c r="B171" s="60"/>
      <c r="C171" s="3"/>
      <c r="D171" s="3"/>
      <c r="E171" s="3"/>
      <c r="F171" s="4"/>
      <c r="G171" s="3"/>
      <c r="H171" s="3"/>
      <c r="I171" s="3"/>
      <c r="J171" s="3"/>
      <c r="K171" s="61"/>
      <c r="L171" s="61"/>
      <c r="M171" s="61"/>
      <c r="N171" s="4"/>
      <c r="O171" s="4"/>
      <c r="P171" s="4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</row>
    <row r="172" spans="1:32" ht="15.75" customHeight="1" x14ac:dyDescent="0.2">
      <c r="A172" s="60"/>
      <c r="B172" s="60"/>
      <c r="C172" s="3"/>
      <c r="D172" s="3"/>
      <c r="E172" s="3"/>
      <c r="F172" s="4"/>
      <c r="G172" s="3"/>
      <c r="H172" s="3"/>
      <c r="I172" s="3"/>
      <c r="J172" s="3"/>
      <c r="K172" s="61"/>
      <c r="L172" s="61"/>
      <c r="M172" s="61"/>
      <c r="N172" s="4"/>
      <c r="O172" s="4"/>
      <c r="P172" s="4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</row>
    <row r="173" spans="1:32" ht="15.75" customHeight="1" x14ac:dyDescent="0.2">
      <c r="A173" s="60"/>
      <c r="B173" s="60"/>
      <c r="C173" s="3"/>
      <c r="D173" s="3"/>
      <c r="E173" s="3"/>
      <c r="F173" s="4"/>
      <c r="G173" s="3"/>
      <c r="H173" s="3"/>
      <c r="I173" s="3"/>
      <c r="J173" s="3"/>
      <c r="K173" s="61"/>
      <c r="L173" s="61"/>
      <c r="M173" s="61"/>
      <c r="N173" s="4"/>
      <c r="O173" s="4"/>
      <c r="P173" s="4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</row>
    <row r="174" spans="1:32" ht="15.75" customHeight="1" x14ac:dyDescent="0.2">
      <c r="A174" s="60"/>
      <c r="B174" s="60"/>
      <c r="C174" s="3"/>
      <c r="D174" s="3"/>
      <c r="E174" s="3"/>
      <c r="F174" s="4"/>
      <c r="G174" s="3"/>
      <c r="H174" s="3"/>
      <c r="I174" s="3"/>
      <c r="J174" s="3"/>
      <c r="K174" s="61"/>
      <c r="L174" s="61"/>
      <c r="M174" s="61"/>
      <c r="N174" s="4"/>
      <c r="O174" s="4"/>
      <c r="P174" s="4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</row>
    <row r="175" spans="1:32" ht="15.75" customHeight="1" x14ac:dyDescent="0.2">
      <c r="A175" s="60"/>
      <c r="B175" s="60"/>
      <c r="C175" s="3"/>
      <c r="D175" s="3"/>
      <c r="E175" s="3"/>
      <c r="F175" s="4"/>
      <c r="G175" s="3"/>
      <c r="H175" s="3"/>
      <c r="I175" s="3"/>
      <c r="J175" s="3"/>
      <c r="K175" s="61"/>
      <c r="L175" s="61"/>
      <c r="M175" s="61"/>
      <c r="N175" s="4"/>
      <c r="O175" s="4"/>
      <c r="P175" s="4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</row>
    <row r="176" spans="1:32" ht="15.75" customHeight="1" x14ac:dyDescent="0.2">
      <c r="A176" s="60"/>
      <c r="B176" s="60"/>
      <c r="C176" s="3"/>
      <c r="D176" s="3"/>
      <c r="E176" s="3"/>
      <c r="F176" s="4"/>
      <c r="G176" s="3"/>
      <c r="H176" s="3"/>
      <c r="I176" s="3"/>
      <c r="J176" s="3"/>
      <c r="K176" s="61"/>
      <c r="L176" s="61"/>
      <c r="M176" s="61"/>
      <c r="N176" s="4"/>
      <c r="O176" s="4"/>
      <c r="P176" s="4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</row>
    <row r="177" spans="1:32" ht="15.75" customHeight="1" x14ac:dyDescent="0.2">
      <c r="A177" s="60"/>
      <c r="B177" s="60"/>
      <c r="C177" s="3"/>
      <c r="D177" s="3"/>
      <c r="E177" s="3"/>
      <c r="F177" s="4"/>
      <c r="G177" s="3"/>
      <c r="H177" s="3"/>
      <c r="I177" s="3"/>
      <c r="J177" s="3"/>
      <c r="K177" s="61"/>
      <c r="L177" s="61"/>
      <c r="M177" s="61"/>
      <c r="N177" s="4"/>
      <c r="O177" s="4"/>
      <c r="P177" s="4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</row>
    <row r="178" spans="1:32" ht="15.75" customHeight="1" x14ac:dyDescent="0.2">
      <c r="A178" s="60"/>
      <c r="B178" s="60"/>
      <c r="C178" s="3"/>
      <c r="D178" s="3"/>
      <c r="E178" s="3"/>
      <c r="F178" s="4"/>
      <c r="G178" s="3"/>
      <c r="H178" s="3"/>
      <c r="I178" s="3"/>
      <c r="J178" s="3"/>
      <c r="K178" s="61"/>
      <c r="L178" s="61"/>
      <c r="M178" s="61"/>
      <c r="N178" s="4"/>
      <c r="O178" s="4"/>
      <c r="P178" s="4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</row>
    <row r="179" spans="1:32" ht="15.75" customHeight="1" x14ac:dyDescent="0.2">
      <c r="A179" s="60"/>
      <c r="B179" s="60"/>
      <c r="C179" s="3"/>
      <c r="D179" s="3"/>
      <c r="E179" s="3"/>
      <c r="F179" s="4"/>
      <c r="G179" s="3"/>
      <c r="H179" s="3"/>
      <c r="I179" s="3"/>
      <c r="J179" s="3"/>
      <c r="K179" s="61"/>
      <c r="L179" s="61"/>
      <c r="M179" s="61"/>
      <c r="N179" s="4"/>
      <c r="O179" s="4"/>
      <c r="P179" s="4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</row>
    <row r="180" spans="1:32" ht="15.75" customHeight="1" x14ac:dyDescent="0.2">
      <c r="A180" s="60"/>
      <c r="B180" s="60"/>
      <c r="C180" s="3"/>
      <c r="D180" s="3"/>
      <c r="E180" s="3"/>
      <c r="F180" s="4"/>
      <c r="G180" s="3"/>
      <c r="H180" s="3"/>
      <c r="I180" s="3"/>
      <c r="J180" s="3"/>
      <c r="K180" s="61"/>
      <c r="L180" s="61"/>
      <c r="M180" s="61"/>
      <c r="N180" s="4"/>
      <c r="O180" s="4"/>
      <c r="P180" s="4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</row>
    <row r="181" spans="1:32" ht="15.75" customHeight="1" x14ac:dyDescent="0.2">
      <c r="A181" s="60"/>
      <c r="B181" s="60"/>
      <c r="C181" s="3"/>
      <c r="D181" s="3"/>
      <c r="E181" s="3"/>
      <c r="F181" s="4"/>
      <c r="G181" s="3"/>
      <c r="H181" s="3"/>
      <c r="I181" s="3"/>
      <c r="J181" s="3"/>
      <c r="K181" s="61"/>
      <c r="L181" s="61"/>
      <c r="M181" s="61"/>
      <c r="N181" s="4"/>
      <c r="O181" s="4"/>
      <c r="P181" s="4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</row>
    <row r="182" spans="1:32" ht="15.75" customHeight="1" x14ac:dyDescent="0.2">
      <c r="A182" s="60"/>
      <c r="B182" s="60"/>
      <c r="C182" s="3"/>
      <c r="D182" s="3"/>
      <c r="E182" s="3"/>
      <c r="F182" s="4"/>
      <c r="G182" s="3"/>
      <c r="H182" s="3"/>
      <c r="I182" s="3"/>
      <c r="J182" s="3"/>
      <c r="K182" s="61"/>
      <c r="L182" s="61"/>
      <c r="M182" s="61"/>
      <c r="N182" s="4"/>
      <c r="O182" s="4"/>
      <c r="P182" s="4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</row>
    <row r="183" spans="1:32" ht="15.75" customHeight="1" x14ac:dyDescent="0.2">
      <c r="A183" s="60"/>
      <c r="B183" s="60"/>
      <c r="C183" s="3"/>
      <c r="D183" s="3"/>
      <c r="E183" s="3"/>
      <c r="F183" s="4"/>
      <c r="G183" s="3"/>
      <c r="H183" s="3"/>
      <c r="I183" s="3"/>
      <c r="J183" s="3"/>
      <c r="K183" s="61"/>
      <c r="L183" s="61"/>
      <c r="M183" s="61"/>
      <c r="N183" s="4"/>
      <c r="O183" s="4"/>
      <c r="P183" s="4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</row>
    <row r="184" spans="1:32" ht="15.75" customHeight="1" x14ac:dyDescent="0.2">
      <c r="A184" s="60"/>
      <c r="B184" s="60"/>
      <c r="C184" s="3"/>
      <c r="D184" s="3"/>
      <c r="E184" s="3"/>
      <c r="F184" s="4"/>
      <c r="G184" s="3"/>
      <c r="H184" s="3"/>
      <c r="I184" s="3"/>
      <c r="J184" s="3"/>
      <c r="K184" s="61"/>
      <c r="L184" s="61"/>
      <c r="M184" s="61"/>
      <c r="N184" s="4"/>
      <c r="O184" s="4"/>
      <c r="P184" s="4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</row>
    <row r="185" spans="1:32" ht="15.75" customHeight="1" x14ac:dyDescent="0.2">
      <c r="A185" s="60"/>
      <c r="B185" s="60"/>
      <c r="C185" s="3"/>
      <c r="D185" s="3"/>
      <c r="E185" s="3"/>
      <c r="F185" s="4"/>
      <c r="G185" s="3"/>
      <c r="H185" s="3"/>
      <c r="I185" s="3"/>
      <c r="J185" s="3"/>
      <c r="K185" s="61"/>
      <c r="L185" s="61"/>
      <c r="M185" s="61"/>
      <c r="N185" s="4"/>
      <c r="O185" s="4"/>
      <c r="P185" s="4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</row>
    <row r="186" spans="1:32" ht="15.75" customHeight="1" x14ac:dyDescent="0.2">
      <c r="A186" s="60"/>
      <c r="B186" s="60"/>
      <c r="C186" s="3"/>
      <c r="D186" s="3"/>
      <c r="E186" s="3"/>
      <c r="F186" s="4"/>
      <c r="G186" s="3"/>
      <c r="H186" s="3"/>
      <c r="I186" s="3"/>
      <c r="J186" s="3"/>
      <c r="K186" s="61"/>
      <c r="L186" s="61"/>
      <c r="M186" s="61"/>
      <c r="N186" s="4"/>
      <c r="O186" s="4"/>
      <c r="P186" s="4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</row>
    <row r="187" spans="1:32" ht="15.75" customHeight="1" x14ac:dyDescent="0.2">
      <c r="A187" s="60"/>
      <c r="B187" s="60"/>
      <c r="C187" s="3"/>
      <c r="D187" s="3"/>
      <c r="E187" s="3"/>
      <c r="F187" s="4"/>
      <c r="G187" s="3"/>
      <c r="H187" s="3"/>
      <c r="I187" s="3"/>
      <c r="J187" s="3"/>
      <c r="K187" s="61"/>
      <c r="L187" s="61"/>
      <c r="M187" s="61"/>
      <c r="N187" s="4"/>
      <c r="O187" s="4"/>
      <c r="P187" s="4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</row>
    <row r="188" spans="1:32" ht="15.75" customHeight="1" x14ac:dyDescent="0.2">
      <c r="A188" s="60"/>
      <c r="B188" s="60"/>
      <c r="C188" s="3"/>
      <c r="D188" s="3"/>
      <c r="E188" s="3"/>
      <c r="F188" s="4"/>
      <c r="G188" s="3"/>
      <c r="H188" s="3"/>
      <c r="I188" s="3"/>
      <c r="J188" s="3"/>
      <c r="K188" s="61"/>
      <c r="L188" s="61"/>
      <c r="M188" s="61"/>
      <c r="N188" s="4"/>
      <c r="O188" s="4"/>
      <c r="P188" s="4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</row>
    <row r="189" spans="1:32" ht="15.75" customHeight="1" x14ac:dyDescent="0.2">
      <c r="A189" s="60"/>
      <c r="B189" s="60"/>
      <c r="C189" s="3"/>
      <c r="D189" s="3"/>
      <c r="E189" s="3"/>
      <c r="F189" s="4"/>
      <c r="G189" s="3"/>
      <c r="H189" s="3"/>
      <c r="I189" s="3"/>
      <c r="J189" s="3"/>
      <c r="K189" s="61"/>
      <c r="L189" s="61"/>
      <c r="M189" s="61"/>
      <c r="N189" s="4"/>
      <c r="O189" s="4"/>
      <c r="P189" s="4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</row>
    <row r="190" spans="1:32" ht="15.75" customHeight="1" x14ac:dyDescent="0.2">
      <c r="A190" s="60"/>
      <c r="B190" s="60"/>
      <c r="C190" s="3"/>
      <c r="D190" s="3"/>
      <c r="E190" s="3"/>
      <c r="F190" s="4"/>
      <c r="G190" s="3"/>
      <c r="H190" s="3"/>
      <c r="I190" s="3"/>
      <c r="J190" s="3"/>
      <c r="K190" s="61"/>
      <c r="L190" s="61"/>
      <c r="M190" s="61"/>
      <c r="N190" s="4"/>
      <c r="O190" s="4"/>
      <c r="P190" s="4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</row>
    <row r="191" spans="1:32" ht="15.75" customHeight="1" x14ac:dyDescent="0.2">
      <c r="A191" s="60"/>
      <c r="B191" s="60"/>
      <c r="C191" s="3"/>
      <c r="D191" s="3"/>
      <c r="E191" s="3"/>
      <c r="F191" s="4"/>
      <c r="G191" s="3"/>
      <c r="H191" s="3"/>
      <c r="I191" s="3"/>
      <c r="J191" s="3"/>
      <c r="K191" s="61"/>
      <c r="L191" s="61"/>
      <c r="M191" s="61"/>
      <c r="N191" s="4"/>
      <c r="O191" s="4"/>
      <c r="P191" s="4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</row>
    <row r="192" spans="1:32" ht="15.75" customHeight="1" x14ac:dyDescent="0.2">
      <c r="A192" s="60"/>
      <c r="B192" s="60"/>
      <c r="C192" s="3"/>
      <c r="D192" s="3"/>
      <c r="E192" s="3"/>
      <c r="F192" s="4"/>
      <c r="G192" s="3"/>
      <c r="H192" s="3"/>
      <c r="I192" s="3"/>
      <c r="J192" s="3"/>
      <c r="K192" s="61"/>
      <c r="L192" s="61"/>
      <c r="M192" s="61"/>
      <c r="N192" s="4"/>
      <c r="O192" s="4"/>
      <c r="P192" s="4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</row>
    <row r="193" spans="1:32" ht="15.75" customHeight="1" x14ac:dyDescent="0.2">
      <c r="A193" s="60"/>
      <c r="B193" s="60"/>
      <c r="C193" s="3"/>
      <c r="D193" s="3"/>
      <c r="E193" s="3"/>
      <c r="F193" s="4"/>
      <c r="G193" s="3"/>
      <c r="H193" s="3"/>
      <c r="I193" s="3"/>
      <c r="J193" s="3"/>
      <c r="K193" s="61"/>
      <c r="L193" s="61"/>
      <c r="M193" s="61"/>
      <c r="N193" s="4"/>
      <c r="O193" s="4"/>
      <c r="P193" s="4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</row>
    <row r="194" spans="1:32" ht="15.75" customHeight="1" x14ac:dyDescent="0.2">
      <c r="A194" s="60"/>
      <c r="B194" s="60"/>
      <c r="C194" s="3"/>
      <c r="D194" s="3"/>
      <c r="E194" s="3"/>
      <c r="F194" s="4"/>
      <c r="G194" s="3"/>
      <c r="H194" s="3"/>
      <c r="I194" s="3"/>
      <c r="J194" s="3"/>
      <c r="K194" s="61"/>
      <c r="L194" s="61"/>
      <c r="M194" s="61"/>
      <c r="N194" s="4"/>
      <c r="O194" s="4"/>
      <c r="P194" s="4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</row>
    <row r="195" spans="1:32" ht="15.75" customHeight="1" x14ac:dyDescent="0.2">
      <c r="A195" s="60"/>
      <c r="B195" s="60"/>
      <c r="C195" s="3"/>
      <c r="D195" s="3"/>
      <c r="E195" s="3"/>
      <c r="F195" s="4"/>
      <c r="G195" s="3"/>
      <c r="H195" s="3"/>
      <c r="I195" s="3"/>
      <c r="J195" s="3"/>
      <c r="K195" s="61"/>
      <c r="L195" s="61"/>
      <c r="M195" s="61"/>
      <c r="N195" s="4"/>
      <c r="O195" s="4"/>
      <c r="P195" s="4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</row>
    <row r="196" spans="1:32" ht="15.75" customHeight="1" x14ac:dyDescent="0.2">
      <c r="A196" s="60"/>
      <c r="B196" s="60"/>
      <c r="C196" s="3"/>
      <c r="D196" s="3"/>
      <c r="E196" s="3"/>
      <c r="F196" s="4"/>
      <c r="G196" s="3"/>
      <c r="H196" s="3"/>
      <c r="I196" s="3"/>
      <c r="J196" s="3"/>
      <c r="K196" s="61"/>
      <c r="L196" s="61"/>
      <c r="M196" s="61"/>
      <c r="N196" s="4"/>
      <c r="O196" s="4"/>
      <c r="P196" s="4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</row>
    <row r="197" spans="1:32" ht="15.75" customHeight="1" x14ac:dyDescent="0.2">
      <c r="A197" s="60"/>
      <c r="B197" s="60"/>
      <c r="C197" s="3"/>
      <c r="D197" s="3"/>
      <c r="E197" s="3"/>
      <c r="F197" s="4"/>
      <c r="G197" s="3"/>
      <c r="H197" s="3"/>
      <c r="I197" s="3"/>
      <c r="J197" s="3"/>
      <c r="K197" s="61"/>
      <c r="L197" s="61"/>
      <c r="M197" s="61"/>
      <c r="N197" s="4"/>
      <c r="O197" s="4"/>
      <c r="P197" s="4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</row>
    <row r="198" spans="1:32" ht="15.75" customHeight="1" x14ac:dyDescent="0.2">
      <c r="A198" s="60"/>
      <c r="B198" s="60"/>
      <c r="C198" s="3"/>
      <c r="D198" s="3"/>
      <c r="E198" s="3"/>
      <c r="F198" s="4"/>
      <c r="G198" s="3"/>
      <c r="H198" s="3"/>
      <c r="I198" s="3"/>
      <c r="J198" s="3"/>
      <c r="K198" s="61"/>
      <c r="L198" s="61"/>
      <c r="M198" s="61"/>
      <c r="N198" s="4"/>
      <c r="O198" s="4"/>
      <c r="P198" s="4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</row>
    <row r="199" spans="1:32" ht="15.75" customHeight="1" x14ac:dyDescent="0.2">
      <c r="A199" s="60"/>
      <c r="B199" s="60"/>
      <c r="C199" s="3"/>
      <c r="D199" s="3"/>
      <c r="E199" s="3"/>
      <c r="F199" s="4"/>
      <c r="G199" s="3"/>
      <c r="H199" s="3"/>
      <c r="I199" s="3"/>
      <c r="J199" s="3"/>
      <c r="K199" s="61"/>
      <c r="L199" s="61"/>
      <c r="M199" s="61"/>
      <c r="N199" s="4"/>
      <c r="O199" s="4"/>
      <c r="P199" s="4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</row>
    <row r="200" spans="1:32" ht="15.75" customHeight="1" x14ac:dyDescent="0.2">
      <c r="A200" s="60"/>
      <c r="B200" s="60"/>
      <c r="C200" s="3"/>
      <c r="D200" s="3"/>
      <c r="E200" s="3"/>
      <c r="F200" s="4"/>
      <c r="G200" s="3"/>
      <c r="H200" s="3"/>
      <c r="I200" s="3"/>
      <c r="J200" s="3"/>
      <c r="K200" s="61"/>
      <c r="L200" s="61"/>
      <c r="M200" s="61"/>
      <c r="N200" s="4"/>
      <c r="O200" s="4"/>
      <c r="P200" s="4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</row>
    <row r="201" spans="1:32" ht="15.75" customHeight="1" x14ac:dyDescent="0.2">
      <c r="A201" s="60"/>
      <c r="B201" s="60"/>
      <c r="C201" s="3"/>
      <c r="D201" s="3"/>
      <c r="E201" s="3"/>
      <c r="F201" s="4"/>
      <c r="G201" s="3"/>
      <c r="H201" s="3"/>
      <c r="I201" s="3"/>
      <c r="J201" s="3"/>
      <c r="K201" s="61"/>
      <c r="L201" s="61"/>
      <c r="M201" s="61"/>
      <c r="N201" s="4"/>
      <c r="O201" s="4"/>
      <c r="P201" s="4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</row>
    <row r="202" spans="1:32" ht="15.75" customHeight="1" x14ac:dyDescent="0.2">
      <c r="A202" s="60"/>
      <c r="B202" s="60"/>
      <c r="C202" s="3"/>
      <c r="D202" s="3"/>
      <c r="E202" s="3"/>
      <c r="F202" s="4"/>
      <c r="G202" s="3"/>
      <c r="H202" s="3"/>
      <c r="I202" s="3"/>
      <c r="J202" s="3"/>
      <c r="K202" s="61"/>
      <c r="L202" s="61"/>
      <c r="M202" s="61"/>
      <c r="N202" s="4"/>
      <c r="O202" s="4"/>
      <c r="P202" s="4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</row>
    <row r="203" spans="1:32" ht="15.75" customHeight="1" x14ac:dyDescent="0.2">
      <c r="A203" s="60"/>
      <c r="B203" s="60"/>
      <c r="C203" s="3"/>
      <c r="D203" s="3"/>
      <c r="E203" s="3"/>
      <c r="F203" s="4"/>
      <c r="G203" s="3"/>
      <c r="H203" s="3"/>
      <c r="I203" s="3"/>
      <c r="J203" s="3"/>
      <c r="K203" s="61"/>
      <c r="L203" s="61"/>
      <c r="M203" s="61"/>
      <c r="N203" s="4"/>
      <c r="O203" s="4"/>
      <c r="P203" s="4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</row>
    <row r="204" spans="1:32" ht="15.75" customHeight="1" x14ac:dyDescent="0.2">
      <c r="A204" s="60"/>
      <c r="B204" s="60"/>
      <c r="C204" s="3"/>
      <c r="D204" s="3"/>
      <c r="E204" s="3"/>
      <c r="F204" s="4"/>
      <c r="G204" s="3"/>
      <c r="H204" s="3"/>
      <c r="I204" s="3"/>
      <c r="J204" s="3"/>
      <c r="K204" s="61"/>
      <c r="L204" s="61"/>
      <c r="M204" s="61"/>
      <c r="N204" s="4"/>
      <c r="O204" s="4"/>
      <c r="P204" s="4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</row>
    <row r="205" spans="1:32" ht="15.75" customHeight="1" x14ac:dyDescent="0.2">
      <c r="A205" s="60"/>
      <c r="B205" s="60"/>
      <c r="C205" s="3"/>
      <c r="D205" s="3"/>
      <c r="E205" s="3"/>
      <c r="F205" s="4"/>
      <c r="G205" s="3"/>
      <c r="H205" s="3"/>
      <c r="I205" s="3"/>
      <c r="J205" s="3"/>
      <c r="K205" s="61"/>
      <c r="L205" s="61"/>
      <c r="M205" s="61"/>
      <c r="N205" s="4"/>
      <c r="O205" s="4"/>
      <c r="P205" s="4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</row>
    <row r="206" spans="1:32" ht="15.75" customHeight="1" x14ac:dyDescent="0.2">
      <c r="A206" s="60"/>
      <c r="B206" s="60"/>
      <c r="C206" s="3"/>
      <c r="D206" s="3"/>
      <c r="E206" s="3"/>
      <c r="F206" s="4"/>
      <c r="G206" s="3"/>
      <c r="H206" s="3"/>
      <c r="I206" s="3"/>
      <c r="J206" s="3"/>
      <c r="K206" s="61"/>
      <c r="L206" s="61"/>
      <c r="M206" s="61"/>
      <c r="N206" s="4"/>
      <c r="O206" s="4"/>
      <c r="P206" s="4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</row>
    <row r="207" spans="1:32" ht="15.75" customHeight="1" x14ac:dyDescent="0.2">
      <c r="A207" s="60"/>
      <c r="B207" s="60"/>
      <c r="C207" s="3"/>
      <c r="D207" s="3"/>
      <c r="E207" s="3"/>
      <c r="F207" s="4"/>
      <c r="G207" s="3"/>
      <c r="H207" s="3"/>
      <c r="I207" s="3"/>
      <c r="J207" s="3"/>
      <c r="K207" s="61"/>
      <c r="L207" s="61"/>
      <c r="M207" s="61"/>
      <c r="N207" s="4"/>
      <c r="O207" s="4"/>
      <c r="P207" s="4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</row>
    <row r="208" spans="1:32" ht="15.75" customHeight="1" x14ac:dyDescent="0.2">
      <c r="A208" s="60"/>
      <c r="B208" s="60"/>
      <c r="C208" s="3"/>
      <c r="D208" s="3"/>
      <c r="E208" s="3"/>
      <c r="F208" s="4"/>
      <c r="G208" s="3"/>
      <c r="H208" s="3"/>
      <c r="I208" s="3"/>
      <c r="J208" s="3"/>
      <c r="K208" s="61"/>
      <c r="L208" s="61"/>
      <c r="M208" s="61"/>
      <c r="N208" s="4"/>
      <c r="O208" s="4"/>
      <c r="P208" s="4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</row>
    <row r="209" spans="1:32" ht="15.75" customHeight="1" x14ac:dyDescent="0.2">
      <c r="A209" s="60"/>
      <c r="B209" s="60"/>
      <c r="C209" s="3"/>
      <c r="D209" s="3"/>
      <c r="E209" s="3"/>
      <c r="F209" s="4"/>
      <c r="G209" s="3"/>
      <c r="H209" s="3"/>
      <c r="I209" s="3"/>
      <c r="J209" s="3"/>
      <c r="K209" s="61"/>
      <c r="L209" s="61"/>
      <c r="M209" s="61"/>
      <c r="N209" s="4"/>
      <c r="O209" s="4"/>
      <c r="P209" s="4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</row>
    <row r="210" spans="1:32" ht="15.75" customHeight="1" x14ac:dyDescent="0.2">
      <c r="A210" s="60"/>
      <c r="B210" s="60"/>
      <c r="C210" s="3"/>
      <c r="D210" s="3"/>
      <c r="E210" s="3"/>
      <c r="F210" s="4"/>
      <c r="G210" s="3"/>
      <c r="H210" s="3"/>
      <c r="I210" s="3"/>
      <c r="J210" s="3"/>
      <c r="K210" s="61"/>
      <c r="L210" s="61"/>
      <c r="M210" s="61"/>
      <c r="N210" s="4"/>
      <c r="O210" s="4"/>
      <c r="P210" s="4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</row>
    <row r="211" spans="1:32" ht="15.75" customHeight="1" x14ac:dyDescent="0.2">
      <c r="A211" s="60"/>
      <c r="B211" s="60"/>
      <c r="C211" s="3"/>
      <c r="D211" s="3"/>
      <c r="E211" s="3"/>
      <c r="F211" s="4"/>
      <c r="G211" s="3"/>
      <c r="H211" s="3"/>
      <c r="I211" s="3"/>
      <c r="J211" s="3"/>
      <c r="K211" s="61"/>
      <c r="L211" s="61"/>
      <c r="M211" s="61"/>
      <c r="N211" s="4"/>
      <c r="O211" s="4"/>
      <c r="P211" s="4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</row>
    <row r="212" spans="1:32" ht="15.75" customHeight="1" x14ac:dyDescent="0.2">
      <c r="A212" s="60"/>
      <c r="B212" s="60"/>
      <c r="C212" s="3"/>
      <c r="D212" s="3"/>
      <c r="E212" s="3"/>
      <c r="F212" s="4"/>
      <c r="G212" s="3"/>
      <c r="H212" s="3"/>
      <c r="I212" s="3"/>
      <c r="J212" s="3"/>
      <c r="K212" s="61"/>
      <c r="L212" s="61"/>
      <c r="M212" s="61"/>
      <c r="N212" s="4"/>
      <c r="O212" s="4"/>
      <c r="P212" s="4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</row>
    <row r="213" spans="1:32" ht="15.75" customHeight="1" x14ac:dyDescent="0.2">
      <c r="A213" s="60"/>
      <c r="B213" s="60"/>
      <c r="C213" s="3"/>
      <c r="D213" s="3"/>
      <c r="E213" s="3"/>
      <c r="F213" s="4"/>
      <c r="G213" s="3"/>
      <c r="H213" s="3"/>
      <c r="I213" s="3"/>
      <c r="J213" s="3"/>
      <c r="K213" s="61"/>
      <c r="L213" s="61"/>
      <c r="M213" s="61"/>
      <c r="N213" s="4"/>
      <c r="O213" s="4"/>
      <c r="P213" s="4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</row>
    <row r="214" spans="1:32" ht="15.75" customHeight="1" x14ac:dyDescent="0.2">
      <c r="A214" s="60"/>
      <c r="B214" s="60"/>
      <c r="C214" s="3"/>
      <c r="D214" s="3"/>
      <c r="E214" s="3"/>
      <c r="F214" s="4"/>
      <c r="G214" s="3"/>
      <c r="H214" s="3"/>
      <c r="I214" s="3"/>
      <c r="J214" s="3"/>
      <c r="K214" s="61"/>
      <c r="L214" s="61"/>
      <c r="M214" s="61"/>
      <c r="N214" s="4"/>
      <c r="O214" s="4"/>
      <c r="P214" s="4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</row>
    <row r="215" spans="1:32" ht="15.75" customHeight="1" x14ac:dyDescent="0.2">
      <c r="A215" s="60"/>
      <c r="B215" s="60"/>
      <c r="C215" s="3"/>
      <c r="D215" s="3"/>
      <c r="E215" s="3"/>
      <c r="F215" s="4"/>
      <c r="G215" s="3"/>
      <c r="H215" s="3"/>
      <c r="I215" s="3"/>
      <c r="J215" s="3"/>
      <c r="K215" s="61"/>
      <c r="L215" s="61"/>
      <c r="M215" s="61"/>
      <c r="N215" s="4"/>
      <c r="O215" s="4"/>
      <c r="P215" s="4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</row>
    <row r="216" spans="1:32" ht="15.75" customHeight="1" x14ac:dyDescent="0.2">
      <c r="A216" s="60"/>
      <c r="B216" s="60"/>
      <c r="C216" s="3"/>
      <c r="D216" s="3"/>
      <c r="E216" s="3"/>
      <c r="F216" s="4"/>
      <c r="G216" s="3"/>
      <c r="H216" s="3"/>
      <c r="I216" s="3"/>
      <c r="J216" s="3"/>
      <c r="K216" s="61"/>
      <c r="L216" s="61"/>
      <c r="M216" s="61"/>
      <c r="N216" s="4"/>
      <c r="O216" s="4"/>
      <c r="P216" s="4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</row>
    <row r="217" spans="1:32" ht="15.75" customHeight="1" x14ac:dyDescent="0.2">
      <c r="A217" s="60"/>
      <c r="B217" s="60"/>
      <c r="C217" s="3"/>
      <c r="D217" s="3"/>
      <c r="E217" s="3"/>
      <c r="F217" s="4"/>
      <c r="G217" s="3"/>
      <c r="H217" s="3"/>
      <c r="I217" s="3"/>
      <c r="J217" s="3"/>
      <c r="K217" s="61"/>
      <c r="L217" s="61"/>
      <c r="M217" s="61"/>
      <c r="N217" s="4"/>
      <c r="O217" s="4"/>
      <c r="P217" s="4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</row>
    <row r="218" spans="1:32" ht="15.75" customHeight="1" x14ac:dyDescent="0.2">
      <c r="A218" s="60"/>
      <c r="B218" s="60"/>
      <c r="C218" s="3"/>
      <c r="D218" s="3"/>
      <c r="E218" s="3"/>
      <c r="F218" s="4"/>
      <c r="G218" s="3"/>
      <c r="H218" s="3"/>
      <c r="I218" s="3"/>
      <c r="J218" s="3"/>
      <c r="K218" s="61"/>
      <c r="L218" s="61"/>
      <c r="M218" s="61"/>
      <c r="N218" s="4"/>
      <c r="O218" s="4"/>
      <c r="P218" s="4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</row>
    <row r="219" spans="1:32" ht="15.75" customHeight="1" x14ac:dyDescent="0.2">
      <c r="A219" s="60"/>
      <c r="B219" s="60"/>
      <c r="C219" s="3"/>
      <c r="D219" s="3"/>
      <c r="E219" s="3"/>
      <c r="F219" s="4"/>
      <c r="G219" s="3"/>
      <c r="H219" s="3"/>
      <c r="I219" s="3"/>
      <c r="J219" s="3"/>
      <c r="K219" s="61"/>
      <c r="L219" s="61"/>
      <c r="M219" s="61"/>
      <c r="N219" s="4"/>
      <c r="O219" s="4"/>
      <c r="P219" s="4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</row>
    <row r="220" spans="1:32" ht="15.75" customHeight="1" x14ac:dyDescent="0.2">
      <c r="A220" s="60"/>
      <c r="B220" s="60"/>
      <c r="C220" s="3"/>
      <c r="D220" s="3"/>
      <c r="E220" s="3"/>
      <c r="F220" s="4"/>
      <c r="G220" s="3"/>
      <c r="H220" s="3"/>
      <c r="I220" s="3"/>
      <c r="J220" s="3"/>
      <c r="K220" s="61"/>
      <c r="L220" s="61"/>
      <c r="M220" s="61"/>
      <c r="N220" s="4"/>
      <c r="O220" s="4"/>
      <c r="P220" s="4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</row>
    <row r="221" spans="1:32" ht="15.75" customHeight="1" x14ac:dyDescent="0.2">
      <c r="A221" s="60"/>
      <c r="B221" s="60"/>
      <c r="C221" s="3"/>
      <c r="D221" s="3"/>
      <c r="E221" s="3"/>
      <c r="F221" s="4"/>
      <c r="G221" s="3"/>
      <c r="H221" s="3"/>
      <c r="I221" s="3"/>
      <c r="J221" s="3"/>
      <c r="K221" s="61"/>
      <c r="L221" s="61"/>
      <c r="M221" s="61"/>
      <c r="N221" s="4"/>
      <c r="O221" s="4"/>
      <c r="P221" s="4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</row>
    <row r="222" spans="1:32" ht="15.75" customHeight="1" x14ac:dyDescent="0.2">
      <c r="A222" s="60"/>
      <c r="B222" s="60"/>
      <c r="C222" s="3"/>
      <c r="D222" s="3"/>
      <c r="E222" s="3"/>
      <c r="F222" s="4"/>
      <c r="G222" s="3"/>
      <c r="H222" s="3"/>
      <c r="I222" s="3"/>
      <c r="J222" s="3"/>
      <c r="K222" s="61"/>
      <c r="L222" s="61"/>
      <c r="M222" s="61"/>
      <c r="N222" s="4"/>
      <c r="O222" s="4"/>
      <c r="P222" s="4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</row>
    <row r="223" spans="1:32" ht="15.75" customHeight="1" x14ac:dyDescent="0.2">
      <c r="A223" s="60"/>
      <c r="B223" s="60"/>
      <c r="C223" s="3"/>
      <c r="D223" s="3"/>
      <c r="E223" s="3"/>
      <c r="F223" s="4"/>
      <c r="G223" s="3"/>
      <c r="H223" s="3"/>
      <c r="I223" s="3"/>
      <c r="J223" s="3"/>
      <c r="K223" s="61"/>
      <c r="L223" s="61"/>
      <c r="M223" s="61"/>
      <c r="N223" s="4"/>
      <c r="O223" s="4"/>
      <c r="P223" s="4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</row>
    <row r="224" spans="1:32" ht="15.75" customHeight="1" x14ac:dyDescent="0.2">
      <c r="A224" s="60"/>
      <c r="B224" s="60"/>
      <c r="C224" s="3"/>
      <c r="D224" s="3"/>
      <c r="E224" s="3"/>
      <c r="F224" s="4"/>
      <c r="G224" s="3"/>
      <c r="H224" s="3"/>
      <c r="I224" s="3"/>
      <c r="J224" s="3"/>
      <c r="K224" s="61"/>
      <c r="L224" s="61"/>
      <c r="M224" s="61"/>
      <c r="N224" s="4"/>
      <c r="O224" s="4"/>
      <c r="P224" s="4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</row>
    <row r="225" spans="1:32" ht="15.75" customHeight="1" x14ac:dyDescent="0.2">
      <c r="A225" s="60"/>
      <c r="B225" s="60"/>
      <c r="C225" s="3"/>
      <c r="D225" s="3"/>
      <c r="E225" s="3"/>
      <c r="F225" s="4"/>
      <c r="G225" s="3"/>
      <c r="H225" s="3"/>
      <c r="I225" s="3"/>
      <c r="J225" s="3"/>
      <c r="K225" s="61"/>
      <c r="L225" s="61"/>
      <c r="M225" s="61"/>
      <c r="N225" s="4"/>
      <c r="O225" s="4"/>
      <c r="P225" s="4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</row>
    <row r="226" spans="1:32" ht="15.75" customHeight="1" x14ac:dyDescent="0.2">
      <c r="A226" s="60"/>
      <c r="B226" s="60"/>
      <c r="C226" s="3"/>
      <c r="D226" s="3"/>
      <c r="E226" s="3"/>
      <c r="F226" s="4"/>
      <c r="G226" s="3"/>
      <c r="H226" s="3"/>
      <c r="I226" s="3"/>
      <c r="J226" s="3"/>
      <c r="K226" s="61"/>
      <c r="L226" s="61"/>
      <c r="M226" s="61"/>
      <c r="N226" s="4"/>
      <c r="O226" s="4"/>
      <c r="P226" s="4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</row>
    <row r="227" spans="1:32" ht="15.75" customHeight="1" x14ac:dyDescent="0.2">
      <c r="A227" s="60"/>
      <c r="B227" s="60"/>
      <c r="C227" s="3"/>
      <c r="D227" s="3"/>
      <c r="E227" s="3"/>
      <c r="F227" s="4"/>
      <c r="G227" s="3"/>
      <c r="H227" s="3"/>
      <c r="I227" s="3"/>
      <c r="J227" s="3"/>
      <c r="K227" s="61"/>
      <c r="L227" s="61"/>
      <c r="M227" s="61"/>
      <c r="N227" s="4"/>
      <c r="O227" s="4"/>
      <c r="P227" s="4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</row>
    <row r="228" spans="1:32" ht="15.75" customHeight="1" x14ac:dyDescent="0.2">
      <c r="A228" s="60"/>
      <c r="B228" s="60"/>
      <c r="C228" s="3"/>
      <c r="D228" s="3"/>
      <c r="E228" s="3"/>
      <c r="F228" s="4"/>
      <c r="G228" s="3"/>
      <c r="H228" s="3"/>
      <c r="I228" s="3"/>
      <c r="J228" s="3"/>
      <c r="K228" s="61"/>
      <c r="L228" s="61"/>
      <c r="M228" s="61"/>
      <c r="N228" s="4"/>
      <c r="O228" s="4"/>
      <c r="P228" s="4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</row>
    <row r="229" spans="1:32" ht="15.75" customHeight="1" x14ac:dyDescent="0.2">
      <c r="A229" s="60"/>
      <c r="B229" s="60"/>
      <c r="C229" s="3"/>
      <c r="D229" s="3"/>
      <c r="E229" s="3"/>
      <c r="F229" s="4"/>
      <c r="G229" s="3"/>
      <c r="H229" s="3"/>
      <c r="I229" s="3"/>
      <c r="J229" s="3"/>
      <c r="K229" s="61"/>
      <c r="L229" s="61"/>
      <c r="M229" s="61"/>
      <c r="N229" s="4"/>
      <c r="O229" s="4"/>
      <c r="P229" s="4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</row>
    <row r="230" spans="1:32" ht="15.75" customHeight="1" x14ac:dyDescent="0.2">
      <c r="A230" s="60"/>
      <c r="B230" s="60"/>
      <c r="C230" s="3"/>
      <c r="D230" s="3"/>
      <c r="E230" s="3"/>
      <c r="F230" s="4"/>
      <c r="G230" s="3"/>
      <c r="H230" s="3"/>
      <c r="I230" s="3"/>
      <c r="J230" s="3"/>
      <c r="K230" s="61"/>
      <c r="L230" s="61"/>
      <c r="M230" s="61"/>
      <c r="N230" s="4"/>
      <c r="O230" s="4"/>
      <c r="P230" s="4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</row>
    <row r="231" spans="1:32" ht="15.75" customHeight="1" x14ac:dyDescent="0.2">
      <c r="A231" s="60"/>
      <c r="B231" s="60"/>
      <c r="C231" s="3"/>
      <c r="D231" s="3"/>
      <c r="E231" s="3"/>
      <c r="F231" s="4"/>
      <c r="G231" s="3"/>
      <c r="H231" s="3"/>
      <c r="I231" s="3"/>
      <c r="J231" s="3"/>
      <c r="K231" s="61"/>
      <c r="L231" s="61"/>
      <c r="M231" s="61"/>
      <c r="N231" s="4"/>
      <c r="O231" s="4"/>
      <c r="P231" s="4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</row>
    <row r="232" spans="1:32" ht="15.75" customHeight="1" x14ac:dyDescent="0.2">
      <c r="A232" s="60"/>
      <c r="B232" s="60"/>
      <c r="C232" s="3"/>
      <c r="D232" s="3"/>
      <c r="E232" s="3"/>
      <c r="F232" s="4"/>
      <c r="G232" s="3"/>
      <c r="H232" s="3"/>
      <c r="I232" s="3"/>
      <c r="J232" s="3"/>
      <c r="K232" s="61"/>
      <c r="L232" s="61"/>
      <c r="M232" s="61"/>
      <c r="N232" s="4"/>
      <c r="O232" s="4"/>
      <c r="P232" s="4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</row>
    <row r="233" spans="1:32" ht="15.75" customHeight="1" x14ac:dyDescent="0.2">
      <c r="A233" s="60"/>
      <c r="B233" s="60"/>
      <c r="C233" s="3"/>
      <c r="D233" s="3"/>
      <c r="E233" s="3"/>
      <c r="F233" s="4"/>
      <c r="G233" s="3"/>
      <c r="H233" s="3"/>
      <c r="I233" s="3"/>
      <c r="J233" s="3"/>
      <c r="K233" s="61"/>
      <c r="L233" s="61"/>
      <c r="M233" s="61"/>
      <c r="N233" s="4"/>
      <c r="O233" s="4"/>
      <c r="P233" s="4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</row>
    <row r="234" spans="1:32" ht="15.75" customHeight="1" x14ac:dyDescent="0.2">
      <c r="A234" s="60"/>
      <c r="B234" s="60"/>
      <c r="C234" s="3"/>
      <c r="D234" s="3"/>
      <c r="E234" s="3"/>
      <c r="F234" s="4"/>
      <c r="G234" s="3"/>
      <c r="H234" s="3"/>
      <c r="I234" s="3"/>
      <c r="J234" s="3"/>
      <c r="K234" s="61"/>
      <c r="L234" s="61"/>
      <c r="M234" s="61"/>
      <c r="N234" s="4"/>
      <c r="O234" s="4"/>
      <c r="P234" s="4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</row>
    <row r="235" spans="1:32" ht="15.75" customHeight="1" x14ac:dyDescent="0.2">
      <c r="A235" s="60"/>
      <c r="B235" s="60"/>
      <c r="C235" s="3"/>
      <c r="D235" s="3"/>
      <c r="E235" s="3"/>
      <c r="F235" s="4"/>
      <c r="G235" s="3"/>
      <c r="H235" s="3"/>
      <c r="I235" s="3"/>
      <c r="J235" s="3"/>
      <c r="K235" s="61"/>
      <c r="L235" s="61"/>
      <c r="M235" s="61"/>
      <c r="N235" s="4"/>
      <c r="O235" s="4"/>
      <c r="P235" s="4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</row>
    <row r="236" spans="1:32" ht="15.75" customHeight="1" x14ac:dyDescent="0.2">
      <c r="A236" s="60"/>
      <c r="B236" s="60"/>
      <c r="C236" s="3"/>
      <c r="D236" s="3"/>
      <c r="E236" s="3"/>
      <c r="F236" s="4"/>
      <c r="G236" s="3"/>
      <c r="H236" s="3"/>
      <c r="I236" s="3"/>
      <c r="J236" s="3"/>
      <c r="K236" s="61"/>
      <c r="L236" s="61"/>
      <c r="M236" s="61"/>
      <c r="N236" s="4"/>
      <c r="O236" s="4"/>
      <c r="P236" s="4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</row>
    <row r="237" spans="1:32" ht="15.75" customHeight="1" x14ac:dyDescent="0.2">
      <c r="A237" s="60"/>
      <c r="B237" s="60"/>
      <c r="C237" s="3"/>
      <c r="D237" s="3"/>
      <c r="E237" s="3"/>
      <c r="F237" s="4"/>
      <c r="G237" s="3"/>
      <c r="H237" s="3"/>
      <c r="I237" s="3"/>
      <c r="J237" s="3"/>
      <c r="K237" s="61"/>
      <c r="L237" s="61"/>
      <c r="M237" s="61"/>
      <c r="N237" s="4"/>
      <c r="O237" s="4"/>
      <c r="P237" s="4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</row>
    <row r="238" spans="1:32" ht="15.75" customHeight="1" x14ac:dyDescent="0.2">
      <c r="A238" s="60"/>
      <c r="B238" s="60"/>
      <c r="C238" s="3"/>
      <c r="D238" s="3"/>
      <c r="E238" s="3"/>
      <c r="F238" s="4"/>
      <c r="G238" s="3"/>
      <c r="H238" s="3"/>
      <c r="I238" s="3"/>
      <c r="J238" s="3"/>
      <c r="K238" s="61"/>
      <c r="L238" s="61"/>
      <c r="M238" s="61"/>
      <c r="N238" s="4"/>
      <c r="O238" s="4"/>
      <c r="P238" s="4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</row>
    <row r="239" spans="1:32" ht="15.75" customHeight="1" x14ac:dyDescent="0.2">
      <c r="A239" s="60"/>
      <c r="B239" s="60"/>
      <c r="C239" s="3"/>
      <c r="D239" s="3"/>
      <c r="E239" s="3"/>
      <c r="F239" s="4"/>
      <c r="G239" s="3"/>
      <c r="H239" s="3"/>
      <c r="I239" s="3"/>
      <c r="J239" s="3"/>
      <c r="K239" s="61"/>
      <c r="L239" s="61"/>
      <c r="M239" s="61"/>
      <c r="N239" s="4"/>
      <c r="O239" s="4"/>
      <c r="P239" s="4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</row>
    <row r="240" spans="1:32" ht="15.75" customHeight="1" x14ac:dyDescent="0.2">
      <c r="A240" s="60"/>
      <c r="B240" s="60"/>
      <c r="C240" s="3"/>
      <c r="D240" s="3"/>
      <c r="E240" s="3"/>
      <c r="F240" s="4"/>
      <c r="G240" s="3"/>
      <c r="H240" s="3"/>
      <c r="I240" s="3"/>
      <c r="J240" s="3"/>
      <c r="K240" s="61"/>
      <c r="L240" s="61"/>
      <c r="M240" s="61"/>
      <c r="N240" s="4"/>
      <c r="O240" s="4"/>
      <c r="P240" s="4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</row>
    <row r="241" spans="1:32" ht="15.75" customHeight="1" x14ac:dyDescent="0.2">
      <c r="A241" s="60"/>
      <c r="B241" s="60"/>
      <c r="C241" s="3"/>
      <c r="D241" s="3"/>
      <c r="E241" s="3"/>
      <c r="F241" s="4"/>
      <c r="G241" s="3"/>
      <c r="H241" s="3"/>
      <c r="I241" s="3"/>
      <c r="J241" s="3"/>
      <c r="K241" s="61"/>
      <c r="L241" s="61"/>
      <c r="M241" s="61"/>
      <c r="N241" s="4"/>
      <c r="O241" s="4"/>
      <c r="P241" s="4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</row>
    <row r="242" spans="1:32" ht="15.75" customHeight="1" x14ac:dyDescent="0.2">
      <c r="A242" s="60"/>
      <c r="B242" s="60"/>
      <c r="C242" s="3"/>
      <c r="D242" s="3"/>
      <c r="E242" s="3"/>
      <c r="F242" s="4"/>
      <c r="G242" s="3"/>
      <c r="H242" s="3"/>
      <c r="I242" s="3"/>
      <c r="J242" s="3"/>
      <c r="K242" s="61"/>
      <c r="L242" s="61"/>
      <c r="M242" s="61"/>
      <c r="N242" s="4"/>
      <c r="O242" s="4"/>
      <c r="P242" s="4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</row>
    <row r="243" spans="1:32" ht="15.75" customHeight="1" x14ac:dyDescent="0.2">
      <c r="A243" s="60"/>
      <c r="B243" s="60"/>
      <c r="C243" s="3"/>
      <c r="D243" s="3"/>
      <c r="E243" s="3"/>
      <c r="F243" s="4"/>
      <c r="G243" s="3"/>
      <c r="H243" s="3"/>
      <c r="I243" s="3"/>
      <c r="J243" s="3"/>
      <c r="K243" s="61"/>
      <c r="L243" s="61"/>
      <c r="M243" s="61"/>
      <c r="N243" s="4"/>
      <c r="O243" s="4"/>
      <c r="P243" s="4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</row>
    <row r="244" spans="1:32" ht="15.75" customHeight="1" x14ac:dyDescent="0.2">
      <c r="A244" s="60"/>
      <c r="B244" s="60"/>
      <c r="C244" s="3"/>
      <c r="D244" s="3"/>
      <c r="E244" s="3"/>
      <c r="F244" s="4"/>
      <c r="G244" s="3"/>
      <c r="H244" s="3"/>
      <c r="I244" s="3"/>
      <c r="J244" s="3"/>
      <c r="K244" s="61"/>
      <c r="L244" s="61"/>
      <c r="M244" s="61"/>
      <c r="N244" s="4"/>
      <c r="O244" s="4"/>
      <c r="P244" s="4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</row>
    <row r="245" spans="1:32" ht="15.75" customHeight="1" x14ac:dyDescent="0.2">
      <c r="A245" s="60"/>
      <c r="B245" s="60"/>
      <c r="C245" s="3"/>
      <c r="D245" s="3"/>
      <c r="E245" s="3"/>
      <c r="F245" s="4"/>
      <c r="G245" s="3"/>
      <c r="H245" s="3"/>
      <c r="I245" s="3"/>
      <c r="J245" s="3"/>
      <c r="K245" s="61"/>
      <c r="L245" s="61"/>
      <c r="M245" s="61"/>
      <c r="N245" s="4"/>
      <c r="O245" s="4"/>
      <c r="P245" s="4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</row>
    <row r="246" spans="1:32" ht="15.75" customHeight="1" x14ac:dyDescent="0.2">
      <c r="A246" s="60"/>
      <c r="B246" s="60"/>
      <c r="C246" s="3"/>
      <c r="D246" s="3"/>
      <c r="E246" s="3"/>
      <c r="F246" s="4"/>
      <c r="G246" s="3"/>
      <c r="H246" s="3"/>
      <c r="I246" s="3"/>
      <c r="J246" s="3"/>
      <c r="K246" s="61"/>
      <c r="L246" s="61"/>
      <c r="M246" s="61"/>
      <c r="N246" s="4"/>
      <c r="O246" s="4"/>
      <c r="P246" s="4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</row>
    <row r="247" spans="1:32" ht="15.75" customHeight="1" x14ac:dyDescent="0.2">
      <c r="A247" s="60"/>
      <c r="B247" s="60"/>
      <c r="C247" s="3"/>
      <c r="D247" s="3"/>
      <c r="E247" s="3"/>
      <c r="F247" s="4"/>
      <c r="G247" s="3"/>
      <c r="H247" s="3"/>
      <c r="I247" s="3"/>
      <c r="J247" s="3"/>
      <c r="K247" s="61"/>
      <c r="L247" s="61"/>
      <c r="M247" s="61"/>
      <c r="N247" s="4"/>
      <c r="O247" s="4"/>
      <c r="P247" s="4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</row>
    <row r="248" spans="1:32" ht="15.75" customHeight="1" x14ac:dyDescent="0.2">
      <c r="A248" s="60"/>
      <c r="B248" s="60"/>
      <c r="C248" s="3"/>
      <c r="D248" s="3"/>
      <c r="E248" s="3"/>
      <c r="F248" s="4"/>
      <c r="G248" s="3"/>
      <c r="H248" s="3"/>
      <c r="I248" s="3"/>
      <c r="J248" s="3"/>
      <c r="K248" s="61"/>
      <c r="L248" s="61"/>
      <c r="M248" s="61"/>
      <c r="N248" s="4"/>
      <c r="O248" s="4"/>
      <c r="P248" s="4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</row>
    <row r="249" spans="1:32" ht="15.75" customHeight="1" x14ac:dyDescent="0.2">
      <c r="A249" s="60"/>
      <c r="B249" s="60"/>
      <c r="C249" s="3"/>
      <c r="D249" s="3"/>
      <c r="E249" s="3"/>
      <c r="F249" s="4"/>
      <c r="G249" s="3"/>
      <c r="H249" s="3"/>
      <c r="I249" s="3"/>
      <c r="J249" s="3"/>
      <c r="K249" s="61"/>
      <c r="L249" s="61"/>
      <c r="M249" s="61"/>
      <c r="N249" s="4"/>
      <c r="O249" s="4"/>
      <c r="P249" s="4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</row>
    <row r="250" spans="1:32" ht="15.75" customHeight="1" x14ac:dyDescent="0.2">
      <c r="A250" s="60"/>
      <c r="B250" s="60"/>
      <c r="C250" s="3"/>
      <c r="D250" s="3"/>
      <c r="E250" s="3"/>
      <c r="F250" s="4"/>
      <c r="G250" s="3"/>
      <c r="H250" s="3"/>
      <c r="I250" s="3"/>
      <c r="J250" s="3"/>
      <c r="K250" s="61"/>
      <c r="L250" s="61"/>
      <c r="M250" s="61"/>
      <c r="N250" s="4"/>
      <c r="O250" s="4"/>
      <c r="P250" s="4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</row>
    <row r="251" spans="1:32" ht="15.75" customHeight="1" x14ac:dyDescent="0.2">
      <c r="A251" s="60"/>
      <c r="B251" s="60"/>
      <c r="C251" s="3"/>
      <c r="D251" s="3"/>
      <c r="E251" s="3"/>
      <c r="F251" s="4"/>
      <c r="G251" s="3"/>
      <c r="H251" s="3"/>
      <c r="I251" s="3"/>
      <c r="J251" s="3"/>
      <c r="K251" s="61"/>
      <c r="L251" s="61"/>
      <c r="M251" s="61"/>
      <c r="N251" s="4"/>
      <c r="O251" s="4"/>
      <c r="P251" s="4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</row>
    <row r="252" spans="1:32" ht="15.75" customHeight="1" x14ac:dyDescent="0.2">
      <c r="A252" s="60"/>
      <c r="B252" s="60"/>
      <c r="C252" s="3"/>
      <c r="D252" s="3"/>
      <c r="E252" s="3"/>
      <c r="F252" s="4"/>
      <c r="G252" s="3"/>
      <c r="H252" s="3"/>
      <c r="I252" s="3"/>
      <c r="J252" s="3"/>
      <c r="K252" s="61"/>
      <c r="L252" s="61"/>
      <c r="M252" s="61"/>
      <c r="N252" s="4"/>
      <c r="O252" s="4"/>
      <c r="P252" s="4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</row>
    <row r="253" spans="1:32" ht="15.75" customHeight="1" x14ac:dyDescent="0.2">
      <c r="A253" s="60"/>
      <c r="B253" s="60"/>
      <c r="C253" s="3"/>
      <c r="D253" s="3"/>
      <c r="E253" s="3"/>
      <c r="F253" s="4"/>
      <c r="G253" s="3"/>
      <c r="H253" s="3"/>
      <c r="I253" s="3"/>
      <c r="J253" s="3"/>
      <c r="K253" s="61"/>
      <c r="L253" s="61"/>
      <c r="M253" s="61"/>
      <c r="N253" s="4"/>
      <c r="O253" s="4"/>
      <c r="P253" s="4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</row>
    <row r="254" spans="1:32" ht="15.75" customHeight="1" x14ac:dyDescent="0.2">
      <c r="A254" s="60"/>
      <c r="B254" s="60"/>
      <c r="C254" s="3"/>
      <c r="D254" s="3"/>
      <c r="E254" s="3"/>
      <c r="F254" s="4"/>
      <c r="G254" s="3"/>
      <c r="H254" s="3"/>
      <c r="I254" s="3"/>
      <c r="J254" s="3"/>
      <c r="K254" s="61"/>
      <c r="L254" s="61"/>
      <c r="M254" s="61"/>
      <c r="N254" s="4"/>
      <c r="O254" s="4"/>
      <c r="P254" s="4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</row>
    <row r="255" spans="1:32" ht="15.75" customHeight="1" x14ac:dyDescent="0.2">
      <c r="A255" s="60"/>
      <c r="B255" s="60"/>
      <c r="C255" s="3"/>
      <c r="D255" s="3"/>
      <c r="E255" s="3"/>
      <c r="F255" s="4"/>
      <c r="G255" s="3"/>
      <c r="H255" s="3"/>
      <c r="I255" s="3"/>
      <c r="J255" s="3"/>
      <c r="K255" s="61"/>
      <c r="L255" s="61"/>
      <c r="M255" s="61"/>
      <c r="N255" s="4"/>
      <c r="O255" s="4"/>
      <c r="P255" s="4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</row>
    <row r="256" spans="1:32" ht="15.75" customHeight="1" x14ac:dyDescent="0.2">
      <c r="A256" s="60"/>
      <c r="B256" s="60"/>
      <c r="C256" s="3"/>
      <c r="D256" s="3"/>
      <c r="E256" s="3"/>
      <c r="F256" s="4"/>
      <c r="G256" s="3"/>
      <c r="H256" s="3"/>
      <c r="I256" s="3"/>
      <c r="J256" s="3"/>
      <c r="K256" s="61"/>
      <c r="L256" s="61"/>
      <c r="M256" s="61"/>
      <c r="N256" s="4"/>
      <c r="O256" s="4"/>
      <c r="P256" s="4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</row>
    <row r="257" spans="1:32" ht="15.75" customHeight="1" x14ac:dyDescent="0.2">
      <c r="A257" s="60"/>
      <c r="B257" s="60"/>
      <c r="C257" s="3"/>
      <c r="D257" s="3"/>
      <c r="E257" s="3"/>
      <c r="F257" s="4"/>
      <c r="G257" s="3"/>
      <c r="H257" s="3"/>
      <c r="I257" s="3"/>
      <c r="J257" s="3"/>
      <c r="K257" s="61"/>
      <c r="L257" s="61"/>
      <c r="M257" s="61"/>
      <c r="N257" s="4"/>
      <c r="O257" s="4"/>
      <c r="P257" s="4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</row>
    <row r="258" spans="1:32" ht="15.75" customHeight="1" x14ac:dyDescent="0.2">
      <c r="A258" s="60"/>
      <c r="B258" s="60"/>
      <c r="C258" s="3"/>
      <c r="D258" s="3"/>
      <c r="E258" s="3"/>
      <c r="F258" s="4"/>
      <c r="G258" s="3"/>
      <c r="H258" s="3"/>
      <c r="I258" s="3"/>
      <c r="J258" s="3"/>
      <c r="K258" s="61"/>
      <c r="L258" s="61"/>
      <c r="M258" s="61"/>
      <c r="N258" s="4"/>
      <c r="O258" s="4"/>
      <c r="P258" s="4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</row>
    <row r="259" spans="1:32" ht="15.75" customHeight="1" x14ac:dyDescent="0.2">
      <c r="A259" s="60"/>
      <c r="B259" s="60"/>
      <c r="C259" s="3"/>
      <c r="D259" s="3"/>
      <c r="E259" s="3"/>
      <c r="F259" s="4"/>
      <c r="G259" s="3"/>
      <c r="H259" s="3"/>
      <c r="I259" s="3"/>
      <c r="J259" s="3"/>
      <c r="K259" s="61"/>
      <c r="L259" s="61"/>
      <c r="M259" s="61"/>
      <c r="N259" s="4"/>
      <c r="O259" s="4"/>
      <c r="P259" s="4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</row>
    <row r="260" spans="1:32" ht="15.75" customHeight="1" x14ac:dyDescent="0.2">
      <c r="A260" s="60"/>
      <c r="B260" s="60"/>
      <c r="C260" s="3"/>
      <c r="D260" s="3"/>
      <c r="E260" s="3"/>
      <c r="F260" s="4"/>
      <c r="G260" s="3"/>
      <c r="H260" s="3"/>
      <c r="I260" s="3"/>
      <c r="J260" s="3"/>
      <c r="K260" s="61"/>
      <c r="L260" s="61"/>
      <c r="M260" s="61"/>
      <c r="N260" s="4"/>
      <c r="O260" s="4"/>
      <c r="P260" s="4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</row>
    <row r="261" spans="1:32" ht="15.75" customHeight="1" x14ac:dyDescent="0.2">
      <c r="A261" s="60"/>
      <c r="B261" s="60"/>
      <c r="C261" s="3"/>
      <c r="D261" s="3"/>
      <c r="E261" s="3"/>
      <c r="F261" s="4"/>
      <c r="G261" s="3"/>
      <c r="H261" s="3"/>
      <c r="I261" s="3"/>
      <c r="J261" s="3"/>
      <c r="K261" s="61"/>
      <c r="L261" s="61"/>
      <c r="M261" s="61"/>
      <c r="N261" s="4"/>
      <c r="O261" s="4"/>
      <c r="P261" s="4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</row>
    <row r="262" spans="1:32" ht="15.75" customHeight="1" x14ac:dyDescent="0.2">
      <c r="A262" s="60"/>
      <c r="B262" s="60"/>
      <c r="C262" s="3"/>
      <c r="D262" s="3"/>
      <c r="E262" s="3"/>
      <c r="F262" s="4"/>
      <c r="G262" s="3"/>
      <c r="H262" s="3"/>
      <c r="I262" s="3"/>
      <c r="J262" s="3"/>
      <c r="K262" s="61"/>
      <c r="L262" s="61"/>
      <c r="M262" s="61"/>
      <c r="N262" s="4"/>
      <c r="O262" s="4"/>
      <c r="P262" s="4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</row>
    <row r="263" spans="1:32" ht="15.75" customHeight="1" x14ac:dyDescent="0.2">
      <c r="A263" s="60"/>
      <c r="B263" s="60"/>
      <c r="C263" s="3"/>
      <c r="D263" s="3"/>
      <c r="E263" s="3"/>
      <c r="F263" s="4"/>
      <c r="G263" s="3"/>
      <c r="H263" s="3"/>
      <c r="I263" s="3"/>
      <c r="J263" s="3"/>
      <c r="K263" s="61"/>
      <c r="L263" s="61"/>
      <c r="M263" s="61"/>
      <c r="N263" s="4"/>
      <c r="O263" s="4"/>
      <c r="P263" s="4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</row>
    <row r="264" spans="1:32" ht="15.75" customHeight="1" x14ac:dyDescent="0.2">
      <c r="A264" s="60"/>
      <c r="B264" s="60"/>
      <c r="C264" s="3"/>
      <c r="D264" s="3"/>
      <c r="E264" s="3"/>
      <c r="F264" s="4"/>
      <c r="G264" s="3"/>
      <c r="H264" s="3"/>
      <c r="I264" s="3"/>
      <c r="J264" s="3"/>
      <c r="K264" s="61"/>
      <c r="L264" s="61"/>
      <c r="M264" s="61"/>
      <c r="N264" s="4"/>
      <c r="O264" s="4"/>
      <c r="P264" s="4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</row>
    <row r="265" spans="1:32" ht="15.75" customHeight="1" x14ac:dyDescent="0.2">
      <c r="A265" s="60"/>
      <c r="B265" s="60"/>
      <c r="C265" s="3"/>
      <c r="D265" s="3"/>
      <c r="E265" s="3"/>
      <c r="F265" s="4"/>
      <c r="G265" s="3"/>
      <c r="H265" s="3"/>
      <c r="I265" s="3"/>
      <c r="J265" s="3"/>
      <c r="K265" s="61"/>
      <c r="L265" s="61"/>
      <c r="M265" s="61"/>
      <c r="N265" s="4"/>
      <c r="O265" s="4"/>
      <c r="P265" s="4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</row>
    <row r="266" spans="1:32" ht="15.75" customHeight="1" x14ac:dyDescent="0.2">
      <c r="A266" s="60"/>
      <c r="B266" s="60"/>
      <c r="C266" s="3"/>
      <c r="D266" s="3"/>
      <c r="E266" s="3"/>
      <c r="F266" s="4"/>
      <c r="G266" s="3"/>
      <c r="H266" s="3"/>
      <c r="I266" s="3"/>
      <c r="J266" s="3"/>
      <c r="K266" s="61"/>
      <c r="L266" s="61"/>
      <c r="M266" s="61"/>
      <c r="N266" s="4"/>
      <c r="O266" s="4"/>
      <c r="P266" s="4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</row>
    <row r="267" spans="1:32" ht="15.75" customHeight="1" x14ac:dyDescent="0.2">
      <c r="A267" s="60"/>
      <c r="B267" s="60"/>
      <c r="C267" s="3"/>
      <c r="D267" s="3"/>
      <c r="E267" s="3"/>
      <c r="F267" s="4"/>
      <c r="G267" s="3"/>
      <c r="H267" s="3"/>
      <c r="I267" s="3"/>
      <c r="J267" s="3"/>
      <c r="K267" s="61"/>
      <c r="L267" s="61"/>
      <c r="M267" s="61"/>
      <c r="N267" s="4"/>
      <c r="O267" s="4"/>
      <c r="P267" s="4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</row>
    <row r="268" spans="1:32" ht="15.75" customHeight="1" x14ac:dyDescent="0.2">
      <c r="A268" s="60"/>
      <c r="B268" s="60"/>
      <c r="C268" s="3"/>
      <c r="D268" s="3"/>
      <c r="E268" s="3"/>
      <c r="F268" s="4"/>
      <c r="G268" s="3"/>
      <c r="H268" s="3"/>
      <c r="I268" s="3"/>
      <c r="J268" s="3"/>
      <c r="K268" s="61"/>
      <c r="L268" s="61"/>
      <c r="M268" s="61"/>
      <c r="N268" s="4"/>
      <c r="O268" s="4"/>
      <c r="P268" s="4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</row>
    <row r="269" spans="1:32" ht="15.75" customHeight="1" x14ac:dyDescent="0.2">
      <c r="A269" s="60"/>
      <c r="B269" s="60"/>
      <c r="C269" s="3"/>
      <c r="D269" s="3"/>
      <c r="E269" s="3"/>
      <c r="F269" s="4"/>
      <c r="G269" s="3"/>
      <c r="H269" s="3"/>
      <c r="I269" s="3"/>
      <c r="J269" s="3"/>
      <c r="K269" s="61"/>
      <c r="L269" s="61"/>
      <c r="M269" s="61"/>
      <c r="N269" s="4"/>
      <c r="O269" s="4"/>
      <c r="P269" s="4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</row>
    <row r="270" spans="1:32" ht="15.75" customHeight="1" x14ac:dyDescent="0.2">
      <c r="A270" s="60"/>
      <c r="B270" s="60"/>
      <c r="C270" s="3"/>
      <c r="D270" s="3"/>
      <c r="E270" s="3"/>
      <c r="F270" s="4"/>
      <c r="G270" s="3"/>
      <c r="H270" s="3"/>
      <c r="I270" s="3"/>
      <c r="J270" s="3"/>
      <c r="K270" s="61"/>
      <c r="L270" s="61"/>
      <c r="M270" s="61"/>
      <c r="N270" s="4"/>
      <c r="O270" s="4"/>
      <c r="P270" s="4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</row>
    <row r="271" spans="1:32" ht="15.75" customHeight="1" x14ac:dyDescent="0.2">
      <c r="A271" s="60"/>
      <c r="B271" s="60"/>
      <c r="C271" s="3"/>
      <c r="D271" s="3"/>
      <c r="E271" s="3"/>
      <c r="F271" s="4"/>
      <c r="G271" s="3"/>
      <c r="H271" s="3"/>
      <c r="I271" s="3"/>
      <c r="J271" s="3"/>
      <c r="K271" s="61"/>
      <c r="L271" s="61"/>
      <c r="M271" s="61"/>
      <c r="N271" s="4"/>
      <c r="O271" s="4"/>
      <c r="P271" s="4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</row>
    <row r="272" spans="1:32" ht="15.75" customHeight="1" x14ac:dyDescent="0.2">
      <c r="A272" s="60"/>
      <c r="B272" s="60"/>
      <c r="C272" s="3"/>
      <c r="D272" s="3"/>
      <c r="E272" s="3"/>
      <c r="F272" s="4"/>
      <c r="G272" s="3"/>
      <c r="H272" s="3"/>
      <c r="I272" s="3"/>
      <c r="J272" s="3"/>
      <c r="K272" s="61"/>
      <c r="L272" s="61"/>
      <c r="M272" s="61"/>
      <c r="N272" s="4"/>
      <c r="O272" s="4"/>
      <c r="P272" s="4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</row>
    <row r="273" spans="1:32" ht="15.75" customHeight="1" x14ac:dyDescent="0.2">
      <c r="A273" s="60"/>
      <c r="B273" s="60"/>
      <c r="C273" s="3"/>
      <c r="D273" s="3"/>
      <c r="E273" s="3"/>
      <c r="F273" s="4"/>
      <c r="G273" s="3"/>
      <c r="H273" s="3"/>
      <c r="I273" s="3"/>
      <c r="J273" s="3"/>
      <c r="K273" s="61"/>
      <c r="L273" s="61"/>
      <c r="M273" s="61"/>
      <c r="N273" s="4"/>
      <c r="O273" s="4"/>
      <c r="P273" s="4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</row>
    <row r="274" spans="1:32" ht="15.75" customHeight="1" x14ac:dyDescent="0.2">
      <c r="A274" s="60"/>
      <c r="B274" s="60"/>
      <c r="C274" s="3"/>
      <c r="D274" s="3"/>
      <c r="E274" s="3"/>
      <c r="F274" s="4"/>
      <c r="G274" s="3"/>
      <c r="H274" s="3"/>
      <c r="I274" s="3"/>
      <c r="J274" s="3"/>
      <c r="K274" s="61"/>
      <c r="L274" s="61"/>
      <c r="M274" s="61"/>
      <c r="N274" s="4"/>
      <c r="O274" s="4"/>
      <c r="P274" s="4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</row>
    <row r="275" spans="1:32" ht="15.75" customHeight="1" x14ac:dyDescent="0.2">
      <c r="A275" s="60"/>
      <c r="B275" s="60"/>
      <c r="C275" s="3"/>
      <c r="D275" s="3"/>
      <c r="E275" s="3"/>
      <c r="F275" s="4"/>
      <c r="G275" s="3"/>
      <c r="H275" s="3"/>
      <c r="I275" s="3"/>
      <c r="J275" s="3"/>
      <c r="K275" s="61"/>
      <c r="L275" s="61"/>
      <c r="M275" s="61"/>
      <c r="N275" s="4"/>
      <c r="O275" s="4"/>
      <c r="P275" s="4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</row>
    <row r="276" spans="1:32" ht="15.75" customHeight="1" x14ac:dyDescent="0.2">
      <c r="A276" s="60"/>
      <c r="B276" s="60"/>
      <c r="C276" s="3"/>
      <c r="D276" s="3"/>
      <c r="E276" s="3"/>
      <c r="F276" s="4"/>
      <c r="G276" s="3"/>
      <c r="H276" s="3"/>
      <c r="I276" s="3"/>
      <c r="J276" s="3"/>
      <c r="K276" s="61"/>
      <c r="L276" s="61"/>
      <c r="M276" s="61"/>
      <c r="N276" s="4"/>
      <c r="O276" s="4"/>
      <c r="P276" s="4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</row>
    <row r="277" spans="1:32" ht="15.75" customHeight="1" x14ac:dyDescent="0.2">
      <c r="A277" s="60"/>
      <c r="B277" s="60"/>
      <c r="C277" s="3"/>
      <c r="D277" s="3"/>
      <c r="E277" s="3"/>
      <c r="F277" s="4"/>
      <c r="G277" s="3"/>
      <c r="H277" s="3"/>
      <c r="I277" s="3"/>
      <c r="J277" s="3"/>
      <c r="K277" s="61"/>
      <c r="L277" s="61"/>
      <c r="M277" s="61"/>
      <c r="N277" s="4"/>
      <c r="O277" s="4"/>
      <c r="P277" s="4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</row>
    <row r="278" spans="1:32" ht="15.75" customHeight="1" x14ac:dyDescent="0.2">
      <c r="A278" s="60"/>
      <c r="B278" s="60"/>
      <c r="C278" s="3"/>
      <c r="D278" s="3"/>
      <c r="E278" s="3"/>
      <c r="F278" s="4"/>
      <c r="G278" s="3"/>
      <c r="H278" s="3"/>
      <c r="I278" s="3"/>
      <c r="J278" s="3"/>
      <c r="K278" s="61"/>
      <c r="L278" s="61"/>
      <c r="M278" s="61"/>
      <c r="N278" s="4"/>
      <c r="O278" s="4"/>
      <c r="P278" s="4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</row>
    <row r="279" spans="1:32" ht="15.75" customHeight="1" x14ac:dyDescent="0.2">
      <c r="A279" s="60"/>
      <c r="B279" s="60"/>
      <c r="C279" s="3"/>
      <c r="D279" s="3"/>
      <c r="E279" s="3"/>
      <c r="F279" s="4"/>
      <c r="G279" s="3"/>
      <c r="H279" s="3"/>
      <c r="I279" s="3"/>
      <c r="J279" s="3"/>
      <c r="K279" s="61"/>
      <c r="L279" s="61"/>
      <c r="M279" s="61"/>
      <c r="N279" s="4"/>
      <c r="O279" s="4"/>
      <c r="P279" s="4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</row>
    <row r="280" spans="1:32" ht="15.75" customHeight="1" x14ac:dyDescent="0.2">
      <c r="A280" s="60"/>
      <c r="B280" s="60"/>
      <c r="C280" s="3"/>
      <c r="D280" s="3"/>
      <c r="E280" s="3"/>
      <c r="F280" s="4"/>
      <c r="G280" s="3"/>
      <c r="H280" s="3"/>
      <c r="I280" s="3"/>
      <c r="J280" s="3"/>
      <c r="K280" s="61"/>
      <c r="L280" s="61"/>
      <c r="M280" s="61"/>
      <c r="N280" s="4"/>
      <c r="O280" s="4"/>
      <c r="P280" s="4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</row>
    <row r="281" spans="1:32" ht="15.75" customHeight="1" x14ac:dyDescent="0.2">
      <c r="A281" s="60"/>
      <c r="B281" s="60"/>
      <c r="C281" s="3"/>
      <c r="D281" s="3"/>
      <c r="E281" s="3"/>
      <c r="F281" s="4"/>
      <c r="G281" s="3"/>
      <c r="H281" s="3"/>
      <c r="I281" s="3"/>
      <c r="J281" s="3"/>
      <c r="K281" s="61"/>
      <c r="L281" s="61"/>
      <c r="M281" s="61"/>
      <c r="N281" s="4"/>
      <c r="O281" s="4"/>
      <c r="P281" s="4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</row>
    <row r="282" spans="1:32" ht="15.75" customHeight="1" x14ac:dyDescent="0.2">
      <c r="A282" s="60"/>
      <c r="B282" s="60"/>
      <c r="C282" s="3"/>
      <c r="D282" s="3"/>
      <c r="E282" s="3"/>
      <c r="F282" s="4"/>
      <c r="G282" s="3"/>
      <c r="H282" s="3"/>
      <c r="I282" s="3"/>
      <c r="J282" s="3"/>
      <c r="K282" s="61"/>
      <c r="L282" s="61"/>
      <c r="M282" s="61"/>
      <c r="N282" s="4"/>
      <c r="O282" s="4"/>
      <c r="P282" s="4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</row>
    <row r="283" spans="1:32" ht="15.75" customHeight="1" x14ac:dyDescent="0.2">
      <c r="A283" s="60"/>
      <c r="B283" s="60"/>
      <c r="C283" s="3"/>
      <c r="D283" s="3"/>
      <c r="E283" s="3"/>
      <c r="F283" s="4"/>
      <c r="G283" s="3"/>
      <c r="H283" s="3"/>
      <c r="I283" s="3"/>
      <c r="J283" s="3"/>
      <c r="K283" s="61"/>
      <c r="L283" s="61"/>
      <c r="M283" s="61"/>
      <c r="N283" s="4"/>
      <c r="O283" s="4"/>
      <c r="P283" s="4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</row>
    <row r="284" spans="1:32" ht="15.75" customHeight="1" x14ac:dyDescent="0.2">
      <c r="A284" s="60"/>
      <c r="B284" s="60"/>
      <c r="C284" s="3"/>
      <c r="D284" s="3"/>
      <c r="E284" s="3"/>
      <c r="F284" s="4"/>
      <c r="G284" s="3"/>
      <c r="H284" s="3"/>
      <c r="I284" s="3"/>
      <c r="J284" s="3"/>
      <c r="K284" s="61"/>
      <c r="L284" s="61"/>
      <c r="M284" s="61"/>
      <c r="N284" s="4"/>
      <c r="O284" s="4"/>
      <c r="P284" s="4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</row>
    <row r="285" spans="1:32" ht="15.75" customHeight="1" x14ac:dyDescent="0.2">
      <c r="A285" s="60"/>
      <c r="B285" s="60"/>
      <c r="C285" s="3"/>
      <c r="D285" s="3"/>
      <c r="E285" s="3"/>
      <c r="F285" s="4"/>
      <c r="G285" s="3"/>
      <c r="H285" s="3"/>
      <c r="I285" s="3"/>
      <c r="J285" s="3"/>
      <c r="K285" s="61"/>
      <c r="L285" s="61"/>
      <c r="M285" s="61"/>
      <c r="N285" s="4"/>
      <c r="O285" s="4"/>
      <c r="P285" s="4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</row>
    <row r="286" spans="1:32" ht="15.75" customHeight="1" x14ac:dyDescent="0.2">
      <c r="A286" s="60"/>
      <c r="B286" s="60"/>
      <c r="C286" s="3"/>
      <c r="D286" s="3"/>
      <c r="E286" s="3"/>
      <c r="F286" s="4"/>
      <c r="G286" s="3"/>
      <c r="H286" s="3"/>
      <c r="I286" s="3"/>
      <c r="J286" s="3"/>
      <c r="K286" s="61"/>
      <c r="L286" s="61"/>
      <c r="M286" s="61"/>
      <c r="N286" s="4"/>
      <c r="O286" s="4"/>
      <c r="P286" s="4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</row>
    <row r="287" spans="1:32" ht="15.75" customHeight="1" x14ac:dyDescent="0.2">
      <c r="A287" s="60"/>
      <c r="B287" s="60"/>
      <c r="C287" s="3"/>
      <c r="D287" s="3"/>
      <c r="E287" s="3"/>
      <c r="F287" s="4"/>
      <c r="G287" s="3"/>
      <c r="H287" s="3"/>
      <c r="I287" s="3"/>
      <c r="J287" s="3"/>
      <c r="K287" s="61"/>
      <c r="L287" s="61"/>
      <c r="M287" s="61"/>
      <c r="N287" s="4"/>
      <c r="O287" s="4"/>
      <c r="P287" s="4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</row>
    <row r="288" spans="1:32" ht="15.75" customHeight="1" x14ac:dyDescent="0.2">
      <c r="A288" s="60"/>
      <c r="B288" s="60"/>
      <c r="C288" s="3"/>
      <c r="D288" s="3"/>
      <c r="E288" s="3"/>
      <c r="F288" s="4"/>
      <c r="G288" s="3"/>
      <c r="H288" s="3"/>
      <c r="I288" s="3"/>
      <c r="J288" s="3"/>
      <c r="K288" s="61"/>
      <c r="L288" s="61"/>
      <c r="M288" s="61"/>
      <c r="N288" s="4"/>
      <c r="O288" s="4"/>
      <c r="P288" s="4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</row>
    <row r="289" spans="1:32" ht="15.75" customHeight="1" x14ac:dyDescent="0.2">
      <c r="A289" s="60"/>
      <c r="B289" s="60"/>
      <c r="C289" s="3"/>
      <c r="D289" s="3"/>
      <c r="E289" s="3"/>
      <c r="F289" s="4"/>
      <c r="G289" s="3"/>
      <c r="H289" s="3"/>
      <c r="I289" s="3"/>
      <c r="J289" s="3"/>
      <c r="K289" s="61"/>
      <c r="L289" s="61"/>
      <c r="M289" s="61"/>
      <c r="N289" s="4"/>
      <c r="O289" s="4"/>
      <c r="P289" s="4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</row>
    <row r="290" spans="1:32" ht="15.75" customHeight="1" x14ac:dyDescent="0.2">
      <c r="A290" s="60"/>
      <c r="B290" s="60"/>
      <c r="C290" s="3"/>
      <c r="D290" s="3"/>
      <c r="E290" s="3"/>
      <c r="F290" s="4"/>
      <c r="G290" s="3"/>
      <c r="H290" s="3"/>
      <c r="I290" s="3"/>
      <c r="J290" s="3"/>
      <c r="K290" s="61"/>
      <c r="L290" s="61"/>
      <c r="M290" s="61"/>
      <c r="N290" s="4"/>
      <c r="O290" s="4"/>
      <c r="P290" s="4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</row>
    <row r="291" spans="1:32" ht="15.75" customHeight="1" x14ac:dyDescent="0.2">
      <c r="A291" s="60"/>
      <c r="B291" s="60"/>
      <c r="C291" s="3"/>
      <c r="D291" s="3"/>
      <c r="E291" s="3"/>
      <c r="F291" s="4"/>
      <c r="G291" s="3"/>
      <c r="H291" s="3"/>
      <c r="I291" s="3"/>
      <c r="J291" s="3"/>
      <c r="K291" s="61"/>
      <c r="L291" s="61"/>
      <c r="M291" s="61"/>
      <c r="N291" s="4"/>
      <c r="O291" s="4"/>
      <c r="P291" s="4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</row>
    <row r="292" spans="1:32" ht="15.75" customHeight="1" x14ac:dyDescent="0.2">
      <c r="F292" s="100"/>
      <c r="N292" s="62"/>
      <c r="O292" s="62"/>
      <c r="P292" s="62"/>
    </row>
    <row r="293" spans="1:32" ht="15.75" customHeight="1" x14ac:dyDescent="0.2">
      <c r="F293" s="100"/>
      <c r="N293" s="62"/>
      <c r="O293" s="62"/>
      <c r="P293" s="62"/>
    </row>
    <row r="294" spans="1:32" ht="15.75" customHeight="1" x14ac:dyDescent="0.2">
      <c r="F294" s="100"/>
      <c r="N294" s="62"/>
      <c r="O294" s="62"/>
      <c r="P294" s="62"/>
    </row>
    <row r="295" spans="1:32" ht="15.75" customHeight="1" x14ac:dyDescent="0.2">
      <c r="F295" s="100"/>
      <c r="N295" s="62"/>
      <c r="O295" s="62"/>
      <c r="P295" s="62"/>
    </row>
    <row r="296" spans="1:32" ht="15.75" customHeight="1" x14ac:dyDescent="0.2">
      <c r="F296" s="100"/>
      <c r="N296" s="62"/>
      <c r="O296" s="62"/>
      <c r="P296" s="62"/>
    </row>
    <row r="297" spans="1:32" ht="15.75" customHeight="1" x14ac:dyDescent="0.2">
      <c r="F297" s="100"/>
      <c r="N297" s="62"/>
      <c r="O297" s="62"/>
      <c r="P297" s="62"/>
    </row>
    <row r="298" spans="1:32" ht="15.75" customHeight="1" x14ac:dyDescent="0.2">
      <c r="F298" s="100"/>
      <c r="N298" s="62"/>
      <c r="O298" s="62"/>
      <c r="P298" s="62"/>
    </row>
    <row r="299" spans="1:32" ht="15.75" customHeight="1" x14ac:dyDescent="0.2">
      <c r="F299" s="100"/>
      <c r="N299" s="62"/>
      <c r="O299" s="62"/>
      <c r="P299" s="62"/>
    </row>
    <row r="300" spans="1:32" ht="15.75" customHeight="1" x14ac:dyDescent="0.2">
      <c r="F300" s="100"/>
      <c r="N300" s="62"/>
      <c r="O300" s="62"/>
      <c r="P300" s="62"/>
    </row>
    <row r="301" spans="1:32" ht="15.75" customHeight="1" x14ac:dyDescent="0.2">
      <c r="F301" s="100"/>
      <c r="N301" s="62"/>
      <c r="O301" s="62"/>
      <c r="P301" s="62"/>
    </row>
    <row r="302" spans="1:32" ht="15.75" customHeight="1" x14ac:dyDescent="0.2">
      <c r="F302" s="100"/>
      <c r="N302" s="62"/>
      <c r="O302" s="62"/>
      <c r="P302" s="62"/>
    </row>
    <row r="303" spans="1:32" ht="15.75" customHeight="1" x14ac:dyDescent="0.2">
      <c r="F303" s="100"/>
      <c r="N303" s="62"/>
      <c r="O303" s="62"/>
      <c r="P303" s="62"/>
    </row>
    <row r="304" spans="1:32" ht="15.75" customHeight="1" x14ac:dyDescent="0.2">
      <c r="F304" s="100"/>
      <c r="N304" s="62"/>
      <c r="O304" s="62"/>
      <c r="P304" s="62"/>
    </row>
    <row r="305" spans="6:16" ht="15.75" customHeight="1" x14ac:dyDescent="0.2">
      <c r="F305" s="100"/>
      <c r="N305" s="62"/>
      <c r="O305" s="62"/>
      <c r="P305" s="62"/>
    </row>
    <row r="306" spans="6:16" ht="15.75" customHeight="1" x14ac:dyDescent="0.2">
      <c r="F306" s="100"/>
      <c r="N306" s="62"/>
      <c r="O306" s="62"/>
      <c r="P306" s="62"/>
    </row>
    <row r="307" spans="6:16" ht="15.75" customHeight="1" x14ac:dyDescent="0.2">
      <c r="F307" s="100"/>
      <c r="N307" s="62"/>
      <c r="O307" s="62"/>
      <c r="P307" s="62"/>
    </row>
    <row r="308" spans="6:16" ht="15.75" customHeight="1" x14ac:dyDescent="0.2">
      <c r="F308" s="100"/>
      <c r="N308" s="62"/>
      <c r="O308" s="62"/>
      <c r="P308" s="62"/>
    </row>
    <row r="309" spans="6:16" ht="15.75" customHeight="1" x14ac:dyDescent="0.2">
      <c r="F309" s="100"/>
      <c r="N309" s="62"/>
      <c r="O309" s="62"/>
      <c r="P309" s="62"/>
    </row>
    <row r="310" spans="6:16" ht="15.75" customHeight="1" x14ac:dyDescent="0.2">
      <c r="F310" s="100"/>
      <c r="N310" s="62"/>
      <c r="O310" s="62"/>
      <c r="P310" s="62"/>
    </row>
    <row r="311" spans="6:16" ht="15.75" customHeight="1" x14ac:dyDescent="0.2">
      <c r="F311" s="100"/>
      <c r="N311" s="62"/>
      <c r="O311" s="62"/>
      <c r="P311" s="62"/>
    </row>
    <row r="312" spans="6:16" ht="15.75" customHeight="1" x14ac:dyDescent="0.2">
      <c r="F312" s="100"/>
      <c r="N312" s="62"/>
      <c r="O312" s="62"/>
      <c r="P312" s="62"/>
    </row>
    <row r="313" spans="6:16" ht="15.75" customHeight="1" x14ac:dyDescent="0.2">
      <c r="F313" s="100"/>
      <c r="N313" s="62"/>
      <c r="O313" s="62"/>
      <c r="P313" s="62"/>
    </row>
    <row r="314" spans="6:16" ht="15.75" customHeight="1" x14ac:dyDescent="0.2">
      <c r="F314" s="100"/>
      <c r="N314" s="62"/>
      <c r="O314" s="62"/>
      <c r="P314" s="62"/>
    </row>
    <row r="315" spans="6:16" ht="15.75" customHeight="1" x14ac:dyDescent="0.2">
      <c r="F315" s="100"/>
      <c r="N315" s="62"/>
      <c r="O315" s="62"/>
      <c r="P315" s="62"/>
    </row>
    <row r="316" spans="6:16" ht="15.75" customHeight="1" x14ac:dyDescent="0.2">
      <c r="F316" s="100"/>
      <c r="N316" s="62"/>
      <c r="O316" s="62"/>
      <c r="P316" s="62"/>
    </row>
    <row r="317" spans="6:16" ht="15.75" customHeight="1" x14ac:dyDescent="0.2">
      <c r="F317" s="100"/>
      <c r="N317" s="62"/>
      <c r="O317" s="62"/>
      <c r="P317" s="62"/>
    </row>
    <row r="318" spans="6:16" ht="15.75" customHeight="1" x14ac:dyDescent="0.2">
      <c r="F318" s="100"/>
      <c r="N318" s="62"/>
      <c r="O318" s="62"/>
      <c r="P318" s="62"/>
    </row>
    <row r="319" spans="6:16" ht="15.75" customHeight="1" x14ac:dyDescent="0.2">
      <c r="F319" s="100"/>
      <c r="N319" s="62"/>
      <c r="O319" s="62"/>
      <c r="P319" s="62"/>
    </row>
    <row r="320" spans="6:16" ht="15.75" customHeight="1" x14ac:dyDescent="0.2">
      <c r="F320" s="100"/>
      <c r="N320" s="62"/>
      <c r="O320" s="62"/>
      <c r="P320" s="62"/>
    </row>
    <row r="321" spans="6:16" ht="15.75" customHeight="1" x14ac:dyDescent="0.2">
      <c r="F321" s="100"/>
      <c r="N321" s="62"/>
      <c r="O321" s="62"/>
      <c r="P321" s="62"/>
    </row>
    <row r="322" spans="6:16" ht="15.75" customHeight="1" x14ac:dyDescent="0.2">
      <c r="F322" s="100"/>
      <c r="N322" s="62"/>
      <c r="O322" s="62"/>
      <c r="P322" s="62"/>
    </row>
    <row r="323" spans="6:16" ht="15.75" customHeight="1" x14ac:dyDescent="0.2">
      <c r="F323" s="100"/>
      <c r="N323" s="62"/>
      <c r="O323" s="62"/>
      <c r="P323" s="62"/>
    </row>
    <row r="324" spans="6:16" ht="15.75" customHeight="1" x14ac:dyDescent="0.2">
      <c r="F324" s="100"/>
      <c r="N324" s="62"/>
      <c r="O324" s="62"/>
      <c r="P324" s="62"/>
    </row>
    <row r="325" spans="6:16" ht="15.75" customHeight="1" x14ac:dyDescent="0.2">
      <c r="F325" s="100"/>
      <c r="N325" s="62"/>
      <c r="O325" s="62"/>
      <c r="P325" s="62"/>
    </row>
    <row r="326" spans="6:16" ht="15.75" customHeight="1" x14ac:dyDescent="0.2">
      <c r="F326" s="100"/>
      <c r="N326" s="62"/>
      <c r="O326" s="62"/>
      <c r="P326" s="62"/>
    </row>
    <row r="327" spans="6:16" ht="15.75" customHeight="1" x14ac:dyDescent="0.2">
      <c r="F327" s="100"/>
      <c r="N327" s="62"/>
      <c r="O327" s="62"/>
      <c r="P327" s="62"/>
    </row>
    <row r="328" spans="6:16" ht="15.75" customHeight="1" x14ac:dyDescent="0.2">
      <c r="F328" s="100"/>
      <c r="N328" s="62"/>
      <c r="O328" s="62"/>
      <c r="P328" s="62"/>
    </row>
    <row r="329" spans="6:16" ht="15.75" customHeight="1" x14ac:dyDescent="0.2">
      <c r="F329" s="100"/>
      <c r="N329" s="62"/>
      <c r="O329" s="62"/>
      <c r="P329" s="62"/>
    </row>
    <row r="330" spans="6:16" ht="15.75" customHeight="1" x14ac:dyDescent="0.2">
      <c r="F330" s="100"/>
      <c r="N330" s="62"/>
      <c r="O330" s="62"/>
      <c r="P330" s="62"/>
    </row>
    <row r="331" spans="6:16" ht="15.75" customHeight="1" x14ac:dyDescent="0.2">
      <c r="F331" s="100"/>
      <c r="N331" s="62"/>
      <c r="O331" s="62"/>
      <c r="P331" s="62"/>
    </row>
    <row r="332" spans="6:16" ht="15.75" customHeight="1" x14ac:dyDescent="0.2">
      <c r="F332" s="100"/>
      <c r="N332" s="62"/>
      <c r="O332" s="62"/>
      <c r="P332" s="62"/>
    </row>
    <row r="333" spans="6:16" ht="15.75" customHeight="1" x14ac:dyDescent="0.2">
      <c r="F333" s="100"/>
      <c r="N333" s="62"/>
      <c r="O333" s="62"/>
      <c r="P333" s="62"/>
    </row>
    <row r="334" spans="6:16" ht="15.75" customHeight="1" x14ac:dyDescent="0.2">
      <c r="F334" s="100"/>
      <c r="N334" s="62"/>
      <c r="O334" s="62"/>
      <c r="P334" s="62"/>
    </row>
    <row r="335" spans="6:16" ht="15.75" customHeight="1" x14ac:dyDescent="0.2">
      <c r="F335" s="100"/>
      <c r="N335" s="62"/>
      <c r="O335" s="62"/>
      <c r="P335" s="62"/>
    </row>
    <row r="336" spans="6:16" ht="15.75" customHeight="1" x14ac:dyDescent="0.2">
      <c r="F336" s="100"/>
      <c r="N336" s="62"/>
      <c r="O336" s="62"/>
      <c r="P336" s="62"/>
    </row>
    <row r="337" spans="6:16" ht="15.75" customHeight="1" x14ac:dyDescent="0.2">
      <c r="F337" s="100"/>
      <c r="N337" s="62"/>
      <c r="O337" s="62"/>
      <c r="P337" s="62"/>
    </row>
    <row r="338" spans="6:16" ht="15.75" customHeight="1" x14ac:dyDescent="0.2">
      <c r="F338" s="100"/>
      <c r="N338" s="62"/>
      <c r="O338" s="62"/>
      <c r="P338" s="62"/>
    </row>
    <row r="339" spans="6:16" ht="15.75" customHeight="1" x14ac:dyDescent="0.2">
      <c r="F339" s="100"/>
      <c r="N339" s="62"/>
      <c r="O339" s="62"/>
      <c r="P339" s="62"/>
    </row>
    <row r="340" spans="6:16" ht="15.75" customHeight="1" x14ac:dyDescent="0.2">
      <c r="F340" s="100"/>
      <c r="N340" s="62"/>
      <c r="O340" s="62"/>
      <c r="P340" s="62"/>
    </row>
    <row r="341" spans="6:16" ht="15.75" customHeight="1" x14ac:dyDescent="0.2">
      <c r="F341" s="100"/>
      <c r="N341" s="62"/>
      <c r="O341" s="62"/>
      <c r="P341" s="62"/>
    </row>
    <row r="342" spans="6:16" ht="15.75" customHeight="1" x14ac:dyDescent="0.2">
      <c r="F342" s="100"/>
      <c r="N342" s="62"/>
      <c r="O342" s="62"/>
      <c r="P342" s="62"/>
    </row>
    <row r="343" spans="6:16" ht="15.75" customHeight="1" x14ac:dyDescent="0.2">
      <c r="F343" s="100"/>
      <c r="N343" s="62"/>
      <c r="O343" s="62"/>
      <c r="P343" s="62"/>
    </row>
    <row r="344" spans="6:16" ht="15.75" customHeight="1" x14ac:dyDescent="0.2">
      <c r="F344" s="100"/>
      <c r="N344" s="62"/>
      <c r="O344" s="62"/>
      <c r="P344" s="62"/>
    </row>
    <row r="345" spans="6:16" ht="15.75" customHeight="1" x14ac:dyDescent="0.2">
      <c r="F345" s="100"/>
      <c r="N345" s="62"/>
      <c r="O345" s="62"/>
      <c r="P345" s="62"/>
    </row>
    <row r="346" spans="6:16" ht="15.75" customHeight="1" x14ac:dyDescent="0.2">
      <c r="F346" s="100"/>
      <c r="N346" s="62"/>
      <c r="O346" s="62"/>
      <c r="P346" s="62"/>
    </row>
    <row r="347" spans="6:16" ht="15.75" customHeight="1" x14ac:dyDescent="0.2">
      <c r="F347" s="100"/>
      <c r="N347" s="62"/>
      <c r="O347" s="62"/>
      <c r="P347" s="62"/>
    </row>
    <row r="348" spans="6:16" ht="15.75" customHeight="1" x14ac:dyDescent="0.2">
      <c r="F348" s="100"/>
      <c r="N348" s="62"/>
      <c r="O348" s="62"/>
      <c r="P348" s="62"/>
    </row>
    <row r="349" spans="6:16" ht="15.75" customHeight="1" x14ac:dyDescent="0.2">
      <c r="F349" s="100"/>
      <c r="N349" s="62"/>
      <c r="O349" s="62"/>
      <c r="P349" s="62"/>
    </row>
    <row r="350" spans="6:16" ht="15.75" customHeight="1" x14ac:dyDescent="0.2">
      <c r="F350" s="100"/>
      <c r="N350" s="62"/>
      <c r="O350" s="62"/>
      <c r="P350" s="62"/>
    </row>
    <row r="351" spans="6:16" ht="15.75" customHeight="1" x14ac:dyDescent="0.2">
      <c r="F351" s="100"/>
      <c r="N351" s="62"/>
      <c r="O351" s="62"/>
      <c r="P351" s="62"/>
    </row>
    <row r="352" spans="6:16" ht="15.75" customHeight="1" x14ac:dyDescent="0.2">
      <c r="F352" s="100"/>
      <c r="N352" s="62"/>
      <c r="O352" s="62"/>
      <c r="P352" s="62"/>
    </row>
    <row r="353" spans="6:16" ht="15.75" customHeight="1" x14ac:dyDescent="0.2">
      <c r="F353" s="100"/>
      <c r="N353" s="62"/>
      <c r="O353" s="62"/>
      <c r="P353" s="62"/>
    </row>
    <row r="354" spans="6:16" ht="15.75" customHeight="1" x14ac:dyDescent="0.2">
      <c r="F354" s="100"/>
      <c r="N354" s="62"/>
      <c r="O354" s="62"/>
      <c r="P354" s="62"/>
    </row>
    <row r="355" spans="6:16" ht="15.75" customHeight="1" x14ac:dyDescent="0.2">
      <c r="F355" s="100"/>
      <c r="N355" s="62"/>
      <c r="O355" s="62"/>
      <c r="P355" s="62"/>
    </row>
    <row r="356" spans="6:16" ht="15.75" customHeight="1" x14ac:dyDescent="0.2">
      <c r="F356" s="100"/>
      <c r="N356" s="62"/>
      <c r="O356" s="62"/>
      <c r="P356" s="62"/>
    </row>
    <row r="357" spans="6:16" ht="15.75" customHeight="1" x14ac:dyDescent="0.2">
      <c r="F357" s="100"/>
      <c r="N357" s="62"/>
      <c r="O357" s="62"/>
      <c r="P357" s="62"/>
    </row>
    <row r="358" spans="6:16" ht="15.75" customHeight="1" x14ac:dyDescent="0.2">
      <c r="F358" s="100"/>
      <c r="N358" s="62"/>
      <c r="O358" s="62"/>
      <c r="P358" s="62"/>
    </row>
    <row r="359" spans="6:16" ht="15.75" customHeight="1" x14ac:dyDescent="0.2">
      <c r="F359" s="100"/>
      <c r="N359" s="62"/>
      <c r="O359" s="62"/>
      <c r="P359" s="62"/>
    </row>
    <row r="360" spans="6:16" ht="15.75" customHeight="1" x14ac:dyDescent="0.2">
      <c r="F360" s="100"/>
      <c r="N360" s="62"/>
      <c r="O360" s="62"/>
      <c r="P360" s="62"/>
    </row>
    <row r="361" spans="6:16" ht="15.75" customHeight="1" x14ac:dyDescent="0.2">
      <c r="F361" s="100"/>
      <c r="N361" s="62"/>
      <c r="O361" s="62"/>
      <c r="P361" s="62"/>
    </row>
    <row r="362" spans="6:16" ht="15.75" customHeight="1" x14ac:dyDescent="0.2">
      <c r="F362" s="100"/>
      <c r="N362" s="62"/>
      <c r="O362" s="62"/>
      <c r="P362" s="62"/>
    </row>
    <row r="363" spans="6:16" ht="15.75" customHeight="1" x14ac:dyDescent="0.2">
      <c r="F363" s="100"/>
      <c r="N363" s="62"/>
      <c r="O363" s="62"/>
      <c r="P363" s="62"/>
    </row>
    <row r="364" spans="6:16" ht="15.75" customHeight="1" x14ac:dyDescent="0.2">
      <c r="F364" s="100"/>
      <c r="N364" s="62"/>
      <c r="O364" s="62"/>
      <c r="P364" s="62"/>
    </row>
    <row r="365" spans="6:16" ht="15.75" customHeight="1" x14ac:dyDescent="0.2">
      <c r="F365" s="100"/>
      <c r="N365" s="62"/>
      <c r="O365" s="62"/>
      <c r="P365" s="62"/>
    </row>
    <row r="366" spans="6:16" ht="15.75" customHeight="1" x14ac:dyDescent="0.2">
      <c r="F366" s="100"/>
      <c r="N366" s="62"/>
      <c r="O366" s="62"/>
      <c r="P366" s="62"/>
    </row>
    <row r="367" spans="6:16" ht="15.75" customHeight="1" x14ac:dyDescent="0.2">
      <c r="F367" s="100"/>
      <c r="N367" s="62"/>
      <c r="O367" s="62"/>
      <c r="P367" s="62"/>
    </row>
    <row r="368" spans="6:16" ht="15.75" customHeight="1" x14ac:dyDescent="0.2">
      <c r="F368" s="100"/>
      <c r="N368" s="62"/>
      <c r="O368" s="62"/>
      <c r="P368" s="62"/>
    </row>
    <row r="369" spans="6:16" ht="15.75" customHeight="1" x14ac:dyDescent="0.2">
      <c r="F369" s="100"/>
      <c r="N369" s="62"/>
      <c r="O369" s="62"/>
      <c r="P369" s="62"/>
    </row>
    <row r="370" spans="6:16" ht="15.75" customHeight="1" x14ac:dyDescent="0.2">
      <c r="F370" s="100"/>
      <c r="N370" s="62"/>
      <c r="O370" s="62"/>
      <c r="P370" s="62"/>
    </row>
    <row r="371" spans="6:16" ht="15.75" customHeight="1" x14ac:dyDescent="0.2">
      <c r="F371" s="100"/>
      <c r="N371" s="62"/>
      <c r="O371" s="62"/>
      <c r="P371" s="62"/>
    </row>
    <row r="372" spans="6:16" ht="15.75" customHeight="1" x14ac:dyDescent="0.2">
      <c r="F372" s="100"/>
      <c r="N372" s="62"/>
      <c r="O372" s="62"/>
      <c r="P372" s="62"/>
    </row>
    <row r="373" spans="6:16" ht="15.75" customHeight="1" x14ac:dyDescent="0.2">
      <c r="F373" s="100"/>
      <c r="N373" s="62"/>
      <c r="O373" s="62"/>
      <c r="P373" s="62"/>
    </row>
    <row r="374" spans="6:16" ht="15.75" customHeight="1" x14ac:dyDescent="0.2">
      <c r="F374" s="100"/>
      <c r="N374" s="62"/>
      <c r="O374" s="62"/>
      <c r="P374" s="62"/>
    </row>
    <row r="375" spans="6:16" ht="15.75" customHeight="1" x14ac:dyDescent="0.2">
      <c r="F375" s="100"/>
      <c r="N375" s="62"/>
      <c r="O375" s="62"/>
      <c r="P375" s="62"/>
    </row>
    <row r="376" spans="6:16" ht="15.75" customHeight="1" x14ac:dyDescent="0.2">
      <c r="F376" s="100"/>
      <c r="N376" s="62"/>
      <c r="O376" s="62"/>
      <c r="P376" s="62"/>
    </row>
    <row r="377" spans="6:16" ht="15.75" customHeight="1" x14ac:dyDescent="0.2">
      <c r="F377" s="100"/>
      <c r="N377" s="62"/>
      <c r="O377" s="62"/>
      <c r="P377" s="62"/>
    </row>
    <row r="378" spans="6:16" ht="15.75" customHeight="1" x14ac:dyDescent="0.2">
      <c r="F378" s="100"/>
      <c r="N378" s="62"/>
      <c r="O378" s="62"/>
      <c r="P378" s="62"/>
    </row>
    <row r="379" spans="6:16" ht="15.75" customHeight="1" x14ac:dyDescent="0.2">
      <c r="F379" s="100"/>
      <c r="N379" s="62"/>
      <c r="O379" s="62"/>
      <c r="P379" s="62"/>
    </row>
    <row r="380" spans="6:16" ht="15.75" customHeight="1" x14ac:dyDescent="0.2">
      <c r="F380" s="100"/>
      <c r="N380" s="62"/>
      <c r="O380" s="62"/>
      <c r="P380" s="62"/>
    </row>
    <row r="381" spans="6:16" ht="15.75" customHeight="1" x14ac:dyDescent="0.2">
      <c r="F381" s="100"/>
      <c r="N381" s="62"/>
      <c r="O381" s="62"/>
      <c r="P381" s="62"/>
    </row>
    <row r="382" spans="6:16" ht="15.75" customHeight="1" x14ac:dyDescent="0.2">
      <c r="F382" s="100"/>
      <c r="N382" s="62"/>
      <c r="O382" s="62"/>
      <c r="P382" s="62"/>
    </row>
    <row r="383" spans="6:16" ht="15.75" customHeight="1" x14ac:dyDescent="0.2">
      <c r="F383" s="100"/>
      <c r="N383" s="62"/>
      <c r="O383" s="62"/>
      <c r="P383" s="62"/>
    </row>
    <row r="384" spans="6:16" ht="15.75" customHeight="1" x14ac:dyDescent="0.2">
      <c r="F384" s="100"/>
      <c r="N384" s="62"/>
      <c r="O384" s="62"/>
      <c r="P384" s="62"/>
    </row>
    <row r="385" spans="6:16" ht="15.75" customHeight="1" x14ac:dyDescent="0.2">
      <c r="F385" s="100"/>
      <c r="N385" s="62"/>
      <c r="O385" s="62"/>
      <c r="P385" s="62"/>
    </row>
    <row r="386" spans="6:16" ht="15.75" customHeight="1" x14ac:dyDescent="0.2">
      <c r="F386" s="100"/>
      <c r="N386" s="62"/>
      <c r="O386" s="62"/>
      <c r="P386" s="62"/>
    </row>
    <row r="387" spans="6:16" ht="15.75" customHeight="1" x14ac:dyDescent="0.2">
      <c r="F387" s="100"/>
      <c r="N387" s="62"/>
      <c r="O387" s="62"/>
      <c r="P387" s="62"/>
    </row>
    <row r="388" spans="6:16" ht="15.75" customHeight="1" x14ac:dyDescent="0.2">
      <c r="F388" s="100"/>
      <c r="N388" s="62"/>
      <c r="O388" s="62"/>
      <c r="P388" s="62"/>
    </row>
    <row r="389" spans="6:16" ht="15.75" customHeight="1" x14ac:dyDescent="0.2">
      <c r="F389" s="100"/>
      <c r="N389" s="62"/>
      <c r="O389" s="62"/>
      <c r="P389" s="62"/>
    </row>
    <row r="390" spans="6:16" ht="15.75" customHeight="1" x14ac:dyDescent="0.2">
      <c r="F390" s="100"/>
      <c r="N390" s="62"/>
      <c r="O390" s="62"/>
      <c r="P390" s="62"/>
    </row>
    <row r="391" spans="6:16" ht="15.75" customHeight="1" x14ac:dyDescent="0.2">
      <c r="F391" s="100"/>
      <c r="N391" s="62"/>
      <c r="O391" s="62"/>
      <c r="P391" s="62"/>
    </row>
    <row r="392" spans="6:16" ht="15.75" customHeight="1" x14ac:dyDescent="0.2">
      <c r="F392" s="100"/>
      <c r="N392" s="62"/>
      <c r="O392" s="62"/>
      <c r="P392" s="62"/>
    </row>
    <row r="393" spans="6:16" ht="15.75" customHeight="1" x14ac:dyDescent="0.2">
      <c r="F393" s="100"/>
      <c r="N393" s="62"/>
      <c r="O393" s="62"/>
      <c r="P393" s="62"/>
    </row>
    <row r="394" spans="6:16" ht="15.75" customHeight="1" x14ac:dyDescent="0.2">
      <c r="F394" s="100"/>
      <c r="N394" s="62"/>
      <c r="O394" s="62"/>
      <c r="P394" s="62"/>
    </row>
    <row r="395" spans="6:16" ht="15.75" customHeight="1" x14ac:dyDescent="0.2">
      <c r="F395" s="100"/>
      <c r="N395" s="62"/>
      <c r="O395" s="62"/>
      <c r="P395" s="62"/>
    </row>
    <row r="396" spans="6:16" ht="15.75" customHeight="1" x14ac:dyDescent="0.2">
      <c r="F396" s="100"/>
      <c r="N396" s="62"/>
      <c r="O396" s="62"/>
      <c r="P396" s="62"/>
    </row>
    <row r="397" spans="6:16" ht="15.75" customHeight="1" x14ac:dyDescent="0.2">
      <c r="F397" s="100"/>
      <c r="N397" s="62"/>
      <c r="O397" s="62"/>
      <c r="P397" s="62"/>
    </row>
    <row r="398" spans="6:16" ht="15.75" customHeight="1" x14ac:dyDescent="0.2">
      <c r="F398" s="100"/>
      <c r="N398" s="62"/>
      <c r="O398" s="62"/>
      <c r="P398" s="62"/>
    </row>
    <row r="399" spans="6:16" ht="15.75" customHeight="1" x14ac:dyDescent="0.2">
      <c r="F399" s="100"/>
      <c r="N399" s="62"/>
      <c r="O399" s="62"/>
      <c r="P399" s="62"/>
    </row>
    <row r="400" spans="6:16" ht="15.75" customHeight="1" x14ac:dyDescent="0.2">
      <c r="F400" s="100"/>
      <c r="N400" s="62"/>
      <c r="O400" s="62"/>
      <c r="P400" s="62"/>
    </row>
    <row r="401" spans="6:16" ht="15.75" customHeight="1" x14ac:dyDescent="0.2">
      <c r="F401" s="100"/>
      <c r="N401" s="62"/>
      <c r="O401" s="62"/>
      <c r="P401" s="62"/>
    </row>
    <row r="402" spans="6:16" ht="15.75" customHeight="1" x14ac:dyDescent="0.2">
      <c r="F402" s="100"/>
      <c r="N402" s="62"/>
      <c r="O402" s="62"/>
      <c r="P402" s="62"/>
    </row>
    <row r="403" spans="6:16" ht="15.75" customHeight="1" x14ac:dyDescent="0.2">
      <c r="F403" s="100"/>
      <c r="N403" s="62"/>
      <c r="O403" s="62"/>
      <c r="P403" s="62"/>
    </row>
    <row r="404" spans="6:16" ht="15.75" customHeight="1" x14ac:dyDescent="0.2">
      <c r="F404" s="100"/>
      <c r="N404" s="62"/>
      <c r="O404" s="62"/>
      <c r="P404" s="62"/>
    </row>
    <row r="405" spans="6:16" ht="15.75" customHeight="1" x14ac:dyDescent="0.2">
      <c r="F405" s="100"/>
      <c r="N405" s="62"/>
      <c r="O405" s="62"/>
      <c r="P405" s="62"/>
    </row>
    <row r="406" spans="6:16" ht="15.75" customHeight="1" x14ac:dyDescent="0.2">
      <c r="F406" s="100"/>
      <c r="N406" s="62"/>
      <c r="O406" s="62"/>
      <c r="P406" s="62"/>
    </row>
    <row r="407" spans="6:16" ht="15.75" customHeight="1" x14ac:dyDescent="0.2">
      <c r="F407" s="100"/>
      <c r="N407" s="62"/>
      <c r="O407" s="62"/>
      <c r="P407" s="62"/>
    </row>
    <row r="408" spans="6:16" ht="15.75" customHeight="1" x14ac:dyDescent="0.2">
      <c r="F408" s="100"/>
      <c r="N408" s="62"/>
      <c r="O408" s="62"/>
      <c r="P408" s="62"/>
    </row>
    <row r="409" spans="6:16" ht="15.75" customHeight="1" x14ac:dyDescent="0.2">
      <c r="F409" s="100"/>
      <c r="N409" s="62"/>
      <c r="O409" s="62"/>
      <c r="P409" s="62"/>
    </row>
    <row r="410" spans="6:16" ht="15.75" customHeight="1" x14ac:dyDescent="0.2">
      <c r="F410" s="100"/>
      <c r="N410" s="62"/>
      <c r="O410" s="62"/>
      <c r="P410" s="62"/>
    </row>
    <row r="411" spans="6:16" ht="15.75" customHeight="1" x14ac:dyDescent="0.2">
      <c r="F411" s="100"/>
      <c r="N411" s="62"/>
      <c r="O411" s="62"/>
      <c r="P411" s="62"/>
    </row>
    <row r="412" spans="6:16" ht="15.75" customHeight="1" x14ac:dyDescent="0.2">
      <c r="F412" s="100"/>
      <c r="N412" s="62"/>
      <c r="O412" s="62"/>
      <c r="P412" s="62"/>
    </row>
    <row r="413" spans="6:16" ht="15.75" customHeight="1" x14ac:dyDescent="0.2">
      <c r="F413" s="100"/>
      <c r="N413" s="62"/>
      <c r="O413" s="62"/>
      <c r="P413" s="62"/>
    </row>
    <row r="414" spans="6:16" ht="15.75" customHeight="1" x14ac:dyDescent="0.2">
      <c r="F414" s="100"/>
      <c r="N414" s="62"/>
      <c r="O414" s="62"/>
      <c r="P414" s="62"/>
    </row>
    <row r="415" spans="6:16" ht="15.75" customHeight="1" x14ac:dyDescent="0.2">
      <c r="F415" s="100"/>
      <c r="N415" s="62"/>
      <c r="O415" s="62"/>
      <c r="P415" s="62"/>
    </row>
    <row r="416" spans="6:16" ht="15.75" customHeight="1" x14ac:dyDescent="0.2">
      <c r="F416" s="100"/>
      <c r="N416" s="62"/>
      <c r="O416" s="62"/>
      <c r="P416" s="62"/>
    </row>
    <row r="417" spans="6:16" ht="15.75" customHeight="1" x14ac:dyDescent="0.2">
      <c r="F417" s="100"/>
      <c r="N417" s="62"/>
      <c r="O417" s="62"/>
      <c r="P417" s="62"/>
    </row>
    <row r="418" spans="6:16" ht="15.75" customHeight="1" x14ac:dyDescent="0.2">
      <c r="F418" s="100"/>
      <c r="N418" s="62"/>
      <c r="O418" s="62"/>
      <c r="P418" s="62"/>
    </row>
    <row r="419" spans="6:16" ht="15.75" customHeight="1" x14ac:dyDescent="0.2">
      <c r="F419" s="100"/>
      <c r="N419" s="62"/>
      <c r="O419" s="62"/>
      <c r="P419" s="62"/>
    </row>
    <row r="420" spans="6:16" ht="15.75" customHeight="1" x14ac:dyDescent="0.2">
      <c r="F420" s="100"/>
      <c r="N420" s="62"/>
      <c r="O420" s="62"/>
      <c r="P420" s="62"/>
    </row>
    <row r="421" spans="6:16" ht="15.75" customHeight="1" x14ac:dyDescent="0.2">
      <c r="F421" s="100"/>
      <c r="N421" s="62"/>
      <c r="O421" s="62"/>
      <c r="P421" s="62"/>
    </row>
    <row r="422" spans="6:16" ht="15.75" customHeight="1" x14ac:dyDescent="0.2">
      <c r="F422" s="100"/>
      <c r="N422" s="62"/>
      <c r="O422" s="62"/>
      <c r="P422" s="62"/>
    </row>
    <row r="423" spans="6:16" ht="15.75" customHeight="1" x14ac:dyDescent="0.2">
      <c r="F423" s="100"/>
      <c r="N423" s="62"/>
      <c r="O423" s="62"/>
      <c r="P423" s="62"/>
    </row>
    <row r="424" spans="6:16" ht="15.75" customHeight="1" x14ac:dyDescent="0.2">
      <c r="F424" s="100"/>
      <c r="N424" s="62"/>
      <c r="O424" s="62"/>
      <c r="P424" s="62"/>
    </row>
    <row r="425" spans="6:16" ht="15.75" customHeight="1" x14ac:dyDescent="0.2">
      <c r="F425" s="100"/>
      <c r="N425" s="62"/>
      <c r="O425" s="62"/>
      <c r="P425" s="62"/>
    </row>
    <row r="426" spans="6:16" ht="15.75" customHeight="1" x14ac:dyDescent="0.2">
      <c r="F426" s="100"/>
      <c r="N426" s="62"/>
      <c r="O426" s="62"/>
      <c r="P426" s="62"/>
    </row>
    <row r="427" spans="6:16" ht="15.75" customHeight="1" x14ac:dyDescent="0.2">
      <c r="F427" s="100"/>
      <c r="N427" s="62"/>
      <c r="O427" s="62"/>
      <c r="P427" s="62"/>
    </row>
    <row r="428" spans="6:16" ht="15.75" customHeight="1" x14ac:dyDescent="0.2">
      <c r="F428" s="100"/>
      <c r="N428" s="62"/>
      <c r="O428" s="62"/>
      <c r="P428" s="62"/>
    </row>
    <row r="429" spans="6:16" ht="15.75" customHeight="1" x14ac:dyDescent="0.2">
      <c r="F429" s="100"/>
      <c r="N429" s="62"/>
      <c r="O429" s="62"/>
      <c r="P429" s="62"/>
    </row>
    <row r="430" spans="6:16" ht="15.75" customHeight="1" x14ac:dyDescent="0.2">
      <c r="F430" s="100"/>
      <c r="N430" s="62"/>
      <c r="O430" s="62"/>
      <c r="P430" s="62"/>
    </row>
    <row r="431" spans="6:16" ht="15.75" customHeight="1" x14ac:dyDescent="0.2">
      <c r="F431" s="100"/>
      <c r="N431" s="62"/>
      <c r="O431" s="62"/>
      <c r="P431" s="62"/>
    </row>
    <row r="432" spans="6:16" ht="15.75" customHeight="1" x14ac:dyDescent="0.2">
      <c r="F432" s="100"/>
      <c r="N432" s="62"/>
      <c r="O432" s="62"/>
      <c r="P432" s="62"/>
    </row>
    <row r="433" spans="6:16" ht="15.75" customHeight="1" x14ac:dyDescent="0.2">
      <c r="F433" s="100"/>
      <c r="N433" s="62"/>
      <c r="O433" s="62"/>
      <c r="P433" s="62"/>
    </row>
    <row r="434" spans="6:16" ht="15.75" customHeight="1" x14ac:dyDescent="0.2">
      <c r="F434" s="100"/>
      <c r="N434" s="62"/>
      <c r="O434" s="62"/>
      <c r="P434" s="62"/>
    </row>
    <row r="435" spans="6:16" ht="15.75" customHeight="1" x14ac:dyDescent="0.2">
      <c r="F435" s="100"/>
      <c r="N435" s="62"/>
      <c r="O435" s="62"/>
      <c r="P435" s="62"/>
    </row>
    <row r="436" spans="6:16" ht="15.75" customHeight="1" x14ac:dyDescent="0.2">
      <c r="F436" s="100"/>
      <c r="N436" s="62"/>
      <c r="O436" s="62"/>
      <c r="P436" s="62"/>
    </row>
    <row r="437" spans="6:16" ht="15.75" customHeight="1" x14ac:dyDescent="0.2">
      <c r="F437" s="100"/>
      <c r="N437" s="62"/>
      <c r="O437" s="62"/>
      <c r="P437" s="62"/>
    </row>
    <row r="438" spans="6:16" ht="15.75" customHeight="1" x14ac:dyDescent="0.2">
      <c r="F438" s="100"/>
      <c r="N438" s="62"/>
      <c r="O438" s="62"/>
      <c r="P438" s="62"/>
    </row>
    <row r="439" spans="6:16" ht="15.75" customHeight="1" x14ac:dyDescent="0.2">
      <c r="F439" s="100"/>
      <c r="N439" s="62"/>
      <c r="O439" s="62"/>
      <c r="P439" s="62"/>
    </row>
    <row r="440" spans="6:16" ht="15.75" customHeight="1" x14ac:dyDescent="0.2">
      <c r="F440" s="100"/>
      <c r="N440" s="62"/>
      <c r="O440" s="62"/>
      <c r="P440" s="62"/>
    </row>
    <row r="441" spans="6:16" ht="15.75" customHeight="1" x14ac:dyDescent="0.2">
      <c r="F441" s="100"/>
      <c r="N441" s="62"/>
      <c r="O441" s="62"/>
      <c r="P441" s="62"/>
    </row>
    <row r="442" spans="6:16" ht="15.75" customHeight="1" x14ac:dyDescent="0.2">
      <c r="F442" s="100"/>
      <c r="N442" s="62"/>
      <c r="O442" s="62"/>
      <c r="P442" s="62"/>
    </row>
    <row r="443" spans="6:16" ht="15.75" customHeight="1" x14ac:dyDescent="0.2">
      <c r="F443" s="100"/>
      <c r="N443" s="62"/>
      <c r="O443" s="62"/>
      <c r="P443" s="62"/>
    </row>
    <row r="444" spans="6:16" ht="15.75" customHeight="1" x14ac:dyDescent="0.2">
      <c r="F444" s="100"/>
      <c r="N444" s="62"/>
      <c r="O444" s="62"/>
      <c r="P444" s="62"/>
    </row>
    <row r="445" spans="6:16" ht="15.75" customHeight="1" x14ac:dyDescent="0.2">
      <c r="F445" s="100"/>
      <c r="N445" s="62"/>
      <c r="O445" s="62"/>
      <c r="P445" s="62"/>
    </row>
    <row r="446" spans="6:16" ht="15.75" customHeight="1" x14ac:dyDescent="0.2">
      <c r="F446" s="100"/>
      <c r="N446" s="62"/>
      <c r="O446" s="62"/>
      <c r="P446" s="62"/>
    </row>
    <row r="447" spans="6:16" ht="15.75" customHeight="1" x14ac:dyDescent="0.2">
      <c r="F447" s="100"/>
      <c r="N447" s="62"/>
      <c r="O447" s="62"/>
      <c r="P447" s="62"/>
    </row>
    <row r="448" spans="6:16" ht="15.75" customHeight="1" x14ac:dyDescent="0.2">
      <c r="F448" s="100"/>
      <c r="N448" s="62"/>
      <c r="O448" s="62"/>
      <c r="P448" s="62"/>
    </row>
    <row r="449" spans="6:16" ht="15.75" customHeight="1" x14ac:dyDescent="0.2">
      <c r="F449" s="100"/>
      <c r="N449" s="62"/>
      <c r="O449" s="62"/>
      <c r="P449" s="62"/>
    </row>
    <row r="450" spans="6:16" ht="15.75" customHeight="1" x14ac:dyDescent="0.2">
      <c r="F450" s="100"/>
      <c r="N450" s="62"/>
      <c r="O450" s="62"/>
      <c r="P450" s="62"/>
    </row>
    <row r="451" spans="6:16" ht="15.75" customHeight="1" x14ac:dyDescent="0.2">
      <c r="F451" s="100"/>
      <c r="N451" s="62"/>
      <c r="O451" s="62"/>
      <c r="P451" s="62"/>
    </row>
    <row r="452" spans="6:16" ht="15.75" customHeight="1" x14ac:dyDescent="0.2">
      <c r="F452" s="100"/>
      <c r="N452" s="62"/>
      <c r="O452" s="62"/>
      <c r="P452" s="62"/>
    </row>
    <row r="453" spans="6:16" ht="15.75" customHeight="1" x14ac:dyDescent="0.2">
      <c r="F453" s="100"/>
      <c r="N453" s="62"/>
      <c r="O453" s="62"/>
      <c r="P453" s="62"/>
    </row>
    <row r="454" spans="6:16" ht="15.75" customHeight="1" x14ac:dyDescent="0.2">
      <c r="F454" s="100"/>
      <c r="N454" s="62"/>
      <c r="O454" s="62"/>
      <c r="P454" s="62"/>
    </row>
    <row r="455" spans="6:16" ht="15.75" customHeight="1" x14ac:dyDescent="0.2">
      <c r="F455" s="100"/>
      <c r="N455" s="62"/>
      <c r="O455" s="62"/>
      <c r="P455" s="62"/>
    </row>
    <row r="456" spans="6:16" ht="15.75" customHeight="1" x14ac:dyDescent="0.2">
      <c r="F456" s="100"/>
      <c r="N456" s="62"/>
      <c r="O456" s="62"/>
      <c r="P456" s="62"/>
    </row>
    <row r="457" spans="6:16" ht="15.75" customHeight="1" x14ac:dyDescent="0.2">
      <c r="F457" s="100"/>
      <c r="N457" s="62"/>
      <c r="O457" s="62"/>
      <c r="P457" s="62"/>
    </row>
    <row r="458" spans="6:16" ht="15.75" customHeight="1" x14ac:dyDescent="0.2">
      <c r="F458" s="100"/>
      <c r="N458" s="62"/>
      <c r="O458" s="62"/>
      <c r="P458" s="62"/>
    </row>
    <row r="459" spans="6:16" ht="15.75" customHeight="1" x14ac:dyDescent="0.2">
      <c r="F459" s="100"/>
      <c r="N459" s="62"/>
      <c r="O459" s="62"/>
      <c r="P459" s="62"/>
    </row>
    <row r="460" spans="6:16" ht="15.75" customHeight="1" x14ac:dyDescent="0.2">
      <c r="F460" s="100"/>
      <c r="N460" s="62"/>
      <c r="O460" s="62"/>
      <c r="P460" s="62"/>
    </row>
    <row r="461" spans="6:16" ht="15.75" customHeight="1" x14ac:dyDescent="0.2">
      <c r="F461" s="100"/>
      <c r="N461" s="62"/>
      <c r="O461" s="62"/>
      <c r="P461" s="62"/>
    </row>
    <row r="462" spans="6:16" ht="15.75" customHeight="1" x14ac:dyDescent="0.2">
      <c r="F462" s="100"/>
      <c r="N462" s="62"/>
      <c r="O462" s="62"/>
      <c r="P462" s="62"/>
    </row>
    <row r="463" spans="6:16" ht="15.75" customHeight="1" x14ac:dyDescent="0.2">
      <c r="F463" s="100"/>
      <c r="N463" s="62"/>
      <c r="O463" s="62"/>
      <c r="P463" s="62"/>
    </row>
    <row r="464" spans="6:16" ht="15.75" customHeight="1" x14ac:dyDescent="0.2">
      <c r="F464" s="100"/>
      <c r="N464" s="62"/>
      <c r="O464" s="62"/>
      <c r="P464" s="62"/>
    </row>
    <row r="465" spans="6:16" ht="15.75" customHeight="1" x14ac:dyDescent="0.2">
      <c r="F465" s="100"/>
      <c r="N465" s="62"/>
      <c r="O465" s="62"/>
      <c r="P465" s="62"/>
    </row>
    <row r="466" spans="6:16" ht="15.75" customHeight="1" x14ac:dyDescent="0.2">
      <c r="F466" s="100"/>
      <c r="N466" s="62"/>
      <c r="O466" s="62"/>
      <c r="P466" s="62"/>
    </row>
    <row r="467" spans="6:16" ht="15.75" customHeight="1" x14ac:dyDescent="0.2">
      <c r="F467" s="100"/>
      <c r="N467" s="62"/>
      <c r="O467" s="62"/>
      <c r="P467" s="62"/>
    </row>
    <row r="468" spans="6:16" ht="15.75" customHeight="1" x14ac:dyDescent="0.2">
      <c r="F468" s="100"/>
      <c r="N468" s="62"/>
      <c r="O468" s="62"/>
      <c r="P468" s="62"/>
    </row>
    <row r="469" spans="6:16" ht="15.75" customHeight="1" x14ac:dyDescent="0.2">
      <c r="F469" s="100"/>
      <c r="N469" s="62"/>
      <c r="O469" s="62"/>
      <c r="P469" s="62"/>
    </row>
    <row r="470" spans="6:16" ht="15.75" customHeight="1" x14ac:dyDescent="0.2">
      <c r="F470" s="100"/>
      <c r="N470" s="62"/>
      <c r="O470" s="62"/>
      <c r="P470" s="62"/>
    </row>
    <row r="471" spans="6:16" ht="15.75" customHeight="1" x14ac:dyDescent="0.2">
      <c r="F471" s="100"/>
      <c r="N471" s="62"/>
      <c r="O471" s="62"/>
      <c r="P471" s="62"/>
    </row>
    <row r="472" spans="6:16" ht="15.75" customHeight="1" x14ac:dyDescent="0.2">
      <c r="F472" s="100"/>
      <c r="N472" s="62"/>
      <c r="O472" s="62"/>
      <c r="P472" s="62"/>
    </row>
    <row r="473" spans="6:16" ht="15.75" customHeight="1" x14ac:dyDescent="0.2">
      <c r="F473" s="100"/>
      <c r="N473" s="62"/>
      <c r="O473" s="62"/>
      <c r="P473" s="62"/>
    </row>
    <row r="474" spans="6:16" ht="15.75" customHeight="1" x14ac:dyDescent="0.2">
      <c r="F474" s="100"/>
      <c r="N474" s="62"/>
      <c r="O474" s="62"/>
      <c r="P474" s="62"/>
    </row>
    <row r="475" spans="6:16" ht="15.75" customHeight="1" x14ac:dyDescent="0.2">
      <c r="F475" s="100"/>
      <c r="N475" s="62"/>
      <c r="O475" s="62"/>
      <c r="P475" s="62"/>
    </row>
    <row r="476" spans="6:16" ht="15.75" customHeight="1" x14ac:dyDescent="0.2">
      <c r="F476" s="100"/>
      <c r="N476" s="62"/>
      <c r="O476" s="62"/>
      <c r="P476" s="62"/>
    </row>
    <row r="477" spans="6:16" ht="15.75" customHeight="1" x14ac:dyDescent="0.2">
      <c r="F477" s="100"/>
      <c r="N477" s="62"/>
      <c r="O477" s="62"/>
      <c r="P477" s="62"/>
    </row>
    <row r="478" spans="6:16" ht="15.75" customHeight="1" x14ac:dyDescent="0.2">
      <c r="F478" s="100"/>
      <c r="N478" s="62"/>
      <c r="O478" s="62"/>
      <c r="P478" s="62"/>
    </row>
    <row r="479" spans="6:16" ht="15.75" customHeight="1" x14ac:dyDescent="0.2">
      <c r="F479" s="100"/>
      <c r="N479" s="62"/>
      <c r="O479" s="62"/>
      <c r="P479" s="62"/>
    </row>
    <row r="480" spans="6:16" ht="15.75" customHeight="1" x14ac:dyDescent="0.2">
      <c r="F480" s="100"/>
      <c r="N480" s="62"/>
      <c r="O480" s="62"/>
      <c r="P480" s="62"/>
    </row>
    <row r="481" spans="6:16" ht="15.75" customHeight="1" x14ac:dyDescent="0.2">
      <c r="F481" s="100"/>
      <c r="N481" s="62"/>
      <c r="O481" s="62"/>
      <c r="P481" s="62"/>
    </row>
    <row r="482" spans="6:16" ht="15.75" customHeight="1" x14ac:dyDescent="0.2">
      <c r="F482" s="100"/>
      <c r="N482" s="62"/>
      <c r="O482" s="62"/>
      <c r="P482" s="62"/>
    </row>
    <row r="483" spans="6:16" ht="15.75" customHeight="1" x14ac:dyDescent="0.2">
      <c r="F483" s="100"/>
      <c r="N483" s="62"/>
      <c r="O483" s="62"/>
      <c r="P483" s="62"/>
    </row>
    <row r="484" spans="6:16" ht="15.75" customHeight="1" x14ac:dyDescent="0.2">
      <c r="F484" s="100"/>
      <c r="N484" s="62"/>
      <c r="O484" s="62"/>
      <c r="P484" s="62"/>
    </row>
    <row r="485" spans="6:16" ht="15.75" customHeight="1" x14ac:dyDescent="0.2">
      <c r="F485" s="100"/>
      <c r="N485" s="62"/>
      <c r="O485" s="62"/>
      <c r="P485" s="62"/>
    </row>
    <row r="486" spans="6:16" ht="15.75" customHeight="1" x14ac:dyDescent="0.2">
      <c r="F486" s="100"/>
      <c r="N486" s="62"/>
      <c r="O486" s="62"/>
      <c r="P486" s="62"/>
    </row>
    <row r="487" spans="6:16" ht="15.75" customHeight="1" x14ac:dyDescent="0.2">
      <c r="F487" s="100"/>
      <c r="N487" s="62"/>
      <c r="O487" s="62"/>
      <c r="P487" s="62"/>
    </row>
    <row r="488" spans="6:16" ht="15.75" customHeight="1" x14ac:dyDescent="0.2">
      <c r="F488" s="100"/>
      <c r="N488" s="62"/>
      <c r="O488" s="62"/>
      <c r="P488" s="62"/>
    </row>
    <row r="489" spans="6:16" ht="15.75" customHeight="1" x14ac:dyDescent="0.2">
      <c r="F489" s="100"/>
      <c r="N489" s="62"/>
      <c r="O489" s="62"/>
      <c r="P489" s="62"/>
    </row>
    <row r="490" spans="6:16" ht="15.75" customHeight="1" x14ac:dyDescent="0.2">
      <c r="F490" s="100"/>
      <c r="N490" s="62"/>
      <c r="O490" s="62"/>
      <c r="P490" s="62"/>
    </row>
    <row r="491" spans="6:16" ht="15.75" customHeight="1" x14ac:dyDescent="0.2">
      <c r="F491" s="100"/>
      <c r="N491" s="62"/>
      <c r="O491" s="62"/>
      <c r="P491" s="62"/>
    </row>
    <row r="492" spans="6:16" ht="15.75" customHeight="1" x14ac:dyDescent="0.2">
      <c r="F492" s="100"/>
      <c r="N492" s="62"/>
      <c r="O492" s="62"/>
      <c r="P492" s="62"/>
    </row>
    <row r="493" spans="6:16" ht="15.75" customHeight="1" x14ac:dyDescent="0.2">
      <c r="F493" s="100"/>
      <c r="N493" s="62"/>
      <c r="O493" s="62"/>
      <c r="P493" s="62"/>
    </row>
    <row r="494" spans="6:16" ht="15.75" customHeight="1" x14ac:dyDescent="0.2">
      <c r="F494" s="100"/>
      <c r="N494" s="62"/>
      <c r="O494" s="62"/>
      <c r="P494" s="62"/>
    </row>
    <row r="495" spans="6:16" ht="15.75" customHeight="1" x14ac:dyDescent="0.2">
      <c r="F495" s="100"/>
      <c r="N495" s="62"/>
      <c r="O495" s="62"/>
      <c r="P495" s="62"/>
    </row>
    <row r="496" spans="6:16" ht="15.75" customHeight="1" x14ac:dyDescent="0.2">
      <c r="F496" s="100"/>
      <c r="N496" s="62"/>
      <c r="O496" s="62"/>
      <c r="P496" s="62"/>
    </row>
    <row r="497" spans="6:16" ht="15.75" customHeight="1" x14ac:dyDescent="0.2">
      <c r="F497" s="100"/>
      <c r="N497" s="62"/>
      <c r="O497" s="62"/>
      <c r="P497" s="62"/>
    </row>
    <row r="498" spans="6:16" ht="15.75" customHeight="1" x14ac:dyDescent="0.2">
      <c r="F498" s="100"/>
      <c r="N498" s="62"/>
      <c r="O498" s="62"/>
      <c r="P498" s="62"/>
    </row>
    <row r="499" spans="6:16" ht="15.75" customHeight="1" x14ac:dyDescent="0.2">
      <c r="F499" s="100"/>
      <c r="N499" s="62"/>
      <c r="O499" s="62"/>
      <c r="P499" s="62"/>
    </row>
    <row r="500" spans="6:16" ht="15.75" customHeight="1" x14ac:dyDescent="0.2">
      <c r="F500" s="100"/>
      <c r="N500" s="62"/>
      <c r="O500" s="62"/>
      <c r="P500" s="62"/>
    </row>
    <row r="501" spans="6:16" ht="15.75" customHeight="1" x14ac:dyDescent="0.2">
      <c r="F501" s="100"/>
      <c r="N501" s="62"/>
      <c r="O501" s="62"/>
      <c r="P501" s="62"/>
    </row>
    <row r="502" spans="6:16" ht="15.75" customHeight="1" x14ac:dyDescent="0.2">
      <c r="F502" s="100"/>
      <c r="N502" s="62"/>
      <c r="O502" s="62"/>
      <c r="P502" s="62"/>
    </row>
    <row r="503" spans="6:16" ht="15.75" customHeight="1" x14ac:dyDescent="0.2">
      <c r="F503" s="100"/>
      <c r="N503" s="62"/>
      <c r="O503" s="62"/>
      <c r="P503" s="62"/>
    </row>
    <row r="504" spans="6:16" ht="15.75" customHeight="1" x14ac:dyDescent="0.2">
      <c r="F504" s="100"/>
      <c r="N504" s="62"/>
      <c r="O504" s="62"/>
      <c r="P504" s="62"/>
    </row>
    <row r="505" spans="6:16" ht="15.75" customHeight="1" x14ac:dyDescent="0.2">
      <c r="F505" s="100"/>
      <c r="N505" s="62"/>
      <c r="O505" s="62"/>
      <c r="P505" s="62"/>
    </row>
    <row r="506" spans="6:16" ht="15.75" customHeight="1" x14ac:dyDescent="0.2">
      <c r="F506" s="100"/>
      <c r="N506" s="62"/>
      <c r="O506" s="62"/>
      <c r="P506" s="62"/>
    </row>
    <row r="507" spans="6:16" ht="15.75" customHeight="1" x14ac:dyDescent="0.2">
      <c r="F507" s="100"/>
      <c r="N507" s="62"/>
      <c r="O507" s="62"/>
      <c r="P507" s="62"/>
    </row>
    <row r="508" spans="6:16" ht="15.75" customHeight="1" x14ac:dyDescent="0.2">
      <c r="F508" s="100"/>
      <c r="N508" s="62"/>
      <c r="O508" s="62"/>
      <c r="P508" s="62"/>
    </row>
    <row r="509" spans="6:16" ht="15.75" customHeight="1" x14ac:dyDescent="0.2">
      <c r="F509" s="100"/>
      <c r="N509" s="62"/>
      <c r="O509" s="62"/>
      <c r="P509" s="62"/>
    </row>
    <row r="510" spans="6:16" ht="15.75" customHeight="1" x14ac:dyDescent="0.2">
      <c r="F510" s="100"/>
      <c r="N510" s="62"/>
      <c r="O510" s="62"/>
      <c r="P510" s="62"/>
    </row>
    <row r="511" spans="6:16" ht="15.75" customHeight="1" x14ac:dyDescent="0.2">
      <c r="F511" s="100"/>
      <c r="N511" s="62"/>
      <c r="O511" s="62"/>
      <c r="P511" s="62"/>
    </row>
    <row r="512" spans="6:16" ht="15.75" customHeight="1" x14ac:dyDescent="0.2">
      <c r="F512" s="100"/>
      <c r="N512" s="62"/>
      <c r="O512" s="62"/>
      <c r="P512" s="62"/>
    </row>
    <row r="513" spans="6:16" ht="15.75" customHeight="1" x14ac:dyDescent="0.2">
      <c r="F513" s="100"/>
      <c r="N513" s="62"/>
      <c r="O513" s="62"/>
      <c r="P513" s="62"/>
    </row>
    <row r="514" spans="6:16" ht="15.75" customHeight="1" x14ac:dyDescent="0.2">
      <c r="F514" s="100"/>
      <c r="N514" s="62"/>
      <c r="O514" s="62"/>
      <c r="P514" s="62"/>
    </row>
    <row r="515" spans="6:16" ht="15.75" customHeight="1" x14ac:dyDescent="0.2">
      <c r="F515" s="100"/>
      <c r="N515" s="62"/>
      <c r="O515" s="62"/>
      <c r="P515" s="62"/>
    </row>
    <row r="516" spans="6:16" ht="15.75" customHeight="1" x14ac:dyDescent="0.2">
      <c r="F516" s="100"/>
      <c r="N516" s="62"/>
      <c r="O516" s="62"/>
      <c r="P516" s="62"/>
    </row>
    <row r="517" spans="6:16" ht="15.75" customHeight="1" x14ac:dyDescent="0.2">
      <c r="F517" s="100"/>
      <c r="N517" s="62"/>
      <c r="O517" s="62"/>
      <c r="P517" s="62"/>
    </row>
    <row r="518" spans="6:16" ht="15.75" customHeight="1" x14ac:dyDescent="0.2">
      <c r="F518" s="100"/>
      <c r="N518" s="62"/>
      <c r="O518" s="62"/>
      <c r="P518" s="62"/>
    </row>
    <row r="519" spans="6:16" ht="15.75" customHeight="1" x14ac:dyDescent="0.2">
      <c r="F519" s="100"/>
      <c r="N519" s="62"/>
      <c r="O519" s="62"/>
      <c r="P519" s="62"/>
    </row>
    <row r="520" spans="6:16" ht="15.75" customHeight="1" x14ac:dyDescent="0.2">
      <c r="F520" s="100"/>
      <c r="N520" s="62"/>
      <c r="O520" s="62"/>
      <c r="P520" s="62"/>
    </row>
    <row r="521" spans="6:16" ht="15.75" customHeight="1" x14ac:dyDescent="0.2">
      <c r="F521" s="100"/>
      <c r="N521" s="62"/>
      <c r="O521" s="62"/>
      <c r="P521" s="62"/>
    </row>
    <row r="522" spans="6:16" ht="15.75" customHeight="1" x14ac:dyDescent="0.2">
      <c r="F522" s="100"/>
      <c r="N522" s="62"/>
      <c r="O522" s="62"/>
      <c r="P522" s="62"/>
    </row>
    <row r="523" spans="6:16" ht="15.75" customHeight="1" x14ac:dyDescent="0.2">
      <c r="F523" s="100"/>
      <c r="N523" s="62"/>
      <c r="O523" s="62"/>
      <c r="P523" s="62"/>
    </row>
    <row r="524" spans="6:16" ht="15.75" customHeight="1" x14ac:dyDescent="0.2">
      <c r="F524" s="100"/>
      <c r="N524" s="62"/>
      <c r="O524" s="62"/>
      <c r="P524" s="62"/>
    </row>
    <row r="525" spans="6:16" ht="15.75" customHeight="1" x14ac:dyDescent="0.2">
      <c r="F525" s="100"/>
      <c r="N525" s="62"/>
      <c r="O525" s="62"/>
      <c r="P525" s="62"/>
    </row>
    <row r="526" spans="6:16" ht="15.75" customHeight="1" x14ac:dyDescent="0.2">
      <c r="F526" s="100"/>
      <c r="N526" s="62"/>
      <c r="O526" s="62"/>
      <c r="P526" s="62"/>
    </row>
    <row r="527" spans="6:16" ht="15.75" customHeight="1" x14ac:dyDescent="0.2">
      <c r="F527" s="100"/>
      <c r="N527" s="62"/>
      <c r="O527" s="62"/>
      <c r="P527" s="62"/>
    </row>
    <row r="528" spans="6:16" ht="15.75" customHeight="1" x14ac:dyDescent="0.2">
      <c r="F528" s="100"/>
      <c r="N528" s="62"/>
      <c r="O528" s="62"/>
      <c r="P528" s="62"/>
    </row>
    <row r="529" spans="6:16" ht="15.75" customHeight="1" x14ac:dyDescent="0.2">
      <c r="F529" s="100"/>
      <c r="N529" s="62"/>
      <c r="O529" s="62"/>
      <c r="P529" s="62"/>
    </row>
    <row r="530" spans="6:16" ht="15.75" customHeight="1" x14ac:dyDescent="0.2">
      <c r="F530" s="100"/>
      <c r="N530" s="62"/>
      <c r="O530" s="62"/>
      <c r="P530" s="62"/>
    </row>
    <row r="531" spans="6:16" ht="15.75" customHeight="1" x14ac:dyDescent="0.2">
      <c r="F531" s="100"/>
      <c r="N531" s="62"/>
      <c r="O531" s="62"/>
      <c r="P531" s="62"/>
    </row>
    <row r="532" spans="6:16" ht="15.75" customHeight="1" x14ac:dyDescent="0.2">
      <c r="F532" s="100"/>
      <c r="N532" s="62"/>
      <c r="O532" s="62"/>
      <c r="P532" s="62"/>
    </row>
    <row r="533" spans="6:16" ht="15.75" customHeight="1" x14ac:dyDescent="0.2">
      <c r="F533" s="100"/>
      <c r="N533" s="62"/>
      <c r="O533" s="62"/>
      <c r="P533" s="62"/>
    </row>
    <row r="534" spans="6:16" ht="15.75" customHeight="1" x14ac:dyDescent="0.2">
      <c r="F534" s="100"/>
      <c r="N534" s="62"/>
      <c r="O534" s="62"/>
      <c r="P534" s="62"/>
    </row>
    <row r="535" spans="6:16" ht="15.75" customHeight="1" x14ac:dyDescent="0.2">
      <c r="F535" s="100"/>
      <c r="N535" s="62"/>
      <c r="O535" s="62"/>
      <c r="P535" s="62"/>
    </row>
    <row r="536" spans="6:16" ht="15.75" customHeight="1" x14ac:dyDescent="0.2">
      <c r="F536" s="100"/>
      <c r="N536" s="62"/>
      <c r="O536" s="62"/>
      <c r="P536" s="62"/>
    </row>
    <row r="537" spans="6:16" ht="15.75" customHeight="1" x14ac:dyDescent="0.2">
      <c r="F537" s="100"/>
      <c r="N537" s="62"/>
      <c r="O537" s="62"/>
      <c r="P537" s="62"/>
    </row>
    <row r="538" spans="6:16" ht="15.75" customHeight="1" x14ac:dyDescent="0.2">
      <c r="F538" s="100"/>
      <c r="N538" s="62"/>
      <c r="O538" s="62"/>
      <c r="P538" s="62"/>
    </row>
    <row r="539" spans="6:16" ht="15.75" customHeight="1" x14ac:dyDescent="0.2">
      <c r="F539" s="100"/>
      <c r="N539" s="62"/>
      <c r="O539" s="62"/>
      <c r="P539" s="62"/>
    </row>
    <row r="540" spans="6:16" ht="15.75" customHeight="1" x14ac:dyDescent="0.2">
      <c r="F540" s="100"/>
      <c r="N540" s="62"/>
      <c r="O540" s="62"/>
      <c r="P540" s="62"/>
    </row>
    <row r="541" spans="6:16" ht="15.75" customHeight="1" x14ac:dyDescent="0.2">
      <c r="F541" s="100"/>
      <c r="N541" s="62"/>
      <c r="O541" s="62"/>
      <c r="P541" s="62"/>
    </row>
    <row r="542" spans="6:16" ht="15.75" customHeight="1" x14ac:dyDescent="0.2">
      <c r="F542" s="100"/>
      <c r="N542" s="62"/>
      <c r="O542" s="62"/>
      <c r="P542" s="62"/>
    </row>
    <row r="543" spans="6:16" ht="15.75" customHeight="1" x14ac:dyDescent="0.2">
      <c r="F543" s="100"/>
      <c r="N543" s="62"/>
      <c r="O543" s="62"/>
      <c r="P543" s="62"/>
    </row>
    <row r="544" spans="6:16" ht="15.75" customHeight="1" x14ac:dyDescent="0.2">
      <c r="F544" s="100"/>
      <c r="N544" s="62"/>
      <c r="O544" s="62"/>
      <c r="P544" s="62"/>
    </row>
    <row r="545" spans="6:16" ht="15.75" customHeight="1" x14ac:dyDescent="0.2">
      <c r="F545" s="100"/>
      <c r="N545" s="62"/>
      <c r="O545" s="62"/>
      <c r="P545" s="62"/>
    </row>
    <row r="546" spans="6:16" ht="15.75" customHeight="1" x14ac:dyDescent="0.2">
      <c r="F546" s="100"/>
      <c r="N546" s="62"/>
      <c r="O546" s="62"/>
      <c r="P546" s="62"/>
    </row>
    <row r="547" spans="6:16" ht="15.75" customHeight="1" x14ac:dyDescent="0.2">
      <c r="F547" s="100"/>
      <c r="N547" s="62"/>
      <c r="O547" s="62"/>
      <c r="P547" s="62"/>
    </row>
    <row r="548" spans="6:16" ht="15.75" customHeight="1" x14ac:dyDescent="0.2">
      <c r="F548" s="100"/>
      <c r="N548" s="62"/>
      <c r="O548" s="62"/>
      <c r="P548" s="62"/>
    </row>
    <row r="549" spans="6:16" ht="15.75" customHeight="1" x14ac:dyDescent="0.2">
      <c r="F549" s="100"/>
      <c r="N549" s="62"/>
      <c r="O549" s="62"/>
      <c r="P549" s="62"/>
    </row>
    <row r="550" spans="6:16" ht="15.75" customHeight="1" x14ac:dyDescent="0.2">
      <c r="F550" s="100"/>
      <c r="N550" s="62"/>
      <c r="O550" s="62"/>
      <c r="P550" s="62"/>
    </row>
    <row r="551" spans="6:16" ht="15.75" customHeight="1" x14ac:dyDescent="0.2">
      <c r="F551" s="100"/>
      <c r="N551" s="62"/>
      <c r="O551" s="62"/>
      <c r="P551" s="62"/>
    </row>
    <row r="552" spans="6:16" ht="15.75" customHeight="1" x14ac:dyDescent="0.2">
      <c r="F552" s="100"/>
      <c r="N552" s="62"/>
      <c r="O552" s="62"/>
      <c r="P552" s="62"/>
    </row>
    <row r="553" spans="6:16" ht="15.75" customHeight="1" x14ac:dyDescent="0.2">
      <c r="F553" s="100"/>
      <c r="N553" s="62"/>
      <c r="O553" s="62"/>
      <c r="P553" s="62"/>
    </row>
    <row r="554" spans="6:16" ht="15.75" customHeight="1" x14ac:dyDescent="0.2">
      <c r="F554" s="100"/>
      <c r="N554" s="62"/>
      <c r="O554" s="62"/>
      <c r="P554" s="62"/>
    </row>
    <row r="555" spans="6:16" ht="15.75" customHeight="1" x14ac:dyDescent="0.2">
      <c r="F555" s="100"/>
      <c r="N555" s="62"/>
      <c r="O555" s="62"/>
      <c r="P555" s="62"/>
    </row>
    <row r="556" spans="6:16" ht="15.75" customHeight="1" x14ac:dyDescent="0.2">
      <c r="F556" s="100"/>
      <c r="N556" s="62"/>
      <c r="O556" s="62"/>
      <c r="P556" s="62"/>
    </row>
    <row r="557" spans="6:16" ht="15.75" customHeight="1" x14ac:dyDescent="0.2">
      <c r="F557" s="100"/>
      <c r="N557" s="62"/>
      <c r="O557" s="62"/>
      <c r="P557" s="62"/>
    </row>
    <row r="558" spans="6:16" ht="15.75" customHeight="1" x14ac:dyDescent="0.2">
      <c r="F558" s="100"/>
      <c r="N558" s="62"/>
      <c r="O558" s="62"/>
      <c r="P558" s="62"/>
    </row>
    <row r="559" spans="6:16" ht="15.75" customHeight="1" x14ac:dyDescent="0.2">
      <c r="F559" s="100"/>
      <c r="N559" s="62"/>
      <c r="O559" s="62"/>
      <c r="P559" s="62"/>
    </row>
    <row r="560" spans="6:16" ht="15.75" customHeight="1" x14ac:dyDescent="0.2">
      <c r="F560" s="100"/>
      <c r="N560" s="62"/>
      <c r="O560" s="62"/>
      <c r="P560" s="62"/>
    </row>
    <row r="561" spans="6:16" ht="15.75" customHeight="1" x14ac:dyDescent="0.2">
      <c r="F561" s="100"/>
      <c r="N561" s="62"/>
      <c r="O561" s="62"/>
      <c r="P561" s="62"/>
    </row>
    <row r="562" spans="6:16" ht="15.75" customHeight="1" x14ac:dyDescent="0.2">
      <c r="F562" s="100"/>
      <c r="N562" s="62"/>
      <c r="O562" s="62"/>
      <c r="P562" s="62"/>
    </row>
    <row r="563" spans="6:16" ht="15.75" customHeight="1" x14ac:dyDescent="0.2">
      <c r="F563" s="100"/>
      <c r="N563" s="62"/>
      <c r="O563" s="62"/>
      <c r="P563" s="62"/>
    </row>
    <row r="564" spans="6:16" ht="15.75" customHeight="1" x14ac:dyDescent="0.2">
      <c r="F564" s="100"/>
      <c r="N564" s="62"/>
      <c r="O564" s="62"/>
      <c r="P564" s="62"/>
    </row>
    <row r="565" spans="6:16" ht="15.75" customHeight="1" x14ac:dyDescent="0.2">
      <c r="F565" s="100"/>
      <c r="N565" s="62"/>
      <c r="O565" s="62"/>
      <c r="P565" s="62"/>
    </row>
    <row r="566" spans="6:16" ht="15.75" customHeight="1" x14ac:dyDescent="0.2">
      <c r="F566" s="100"/>
      <c r="N566" s="62"/>
      <c r="O566" s="62"/>
      <c r="P566" s="62"/>
    </row>
    <row r="567" spans="6:16" ht="15.75" customHeight="1" x14ac:dyDescent="0.2">
      <c r="F567" s="100"/>
      <c r="N567" s="62"/>
      <c r="O567" s="62"/>
      <c r="P567" s="62"/>
    </row>
    <row r="568" spans="6:16" ht="15.75" customHeight="1" x14ac:dyDescent="0.2">
      <c r="F568" s="100"/>
      <c r="N568" s="62"/>
      <c r="O568" s="62"/>
      <c r="P568" s="62"/>
    </row>
    <row r="569" spans="6:16" ht="15.75" customHeight="1" x14ac:dyDescent="0.2">
      <c r="F569" s="100"/>
      <c r="N569" s="62"/>
      <c r="O569" s="62"/>
      <c r="P569" s="62"/>
    </row>
    <row r="570" spans="6:16" ht="15.75" customHeight="1" x14ac:dyDescent="0.2">
      <c r="F570" s="100"/>
      <c r="N570" s="62"/>
      <c r="O570" s="62"/>
      <c r="P570" s="62"/>
    </row>
    <row r="571" spans="6:16" ht="15.75" customHeight="1" x14ac:dyDescent="0.2">
      <c r="F571" s="100"/>
      <c r="N571" s="62"/>
      <c r="O571" s="62"/>
      <c r="P571" s="62"/>
    </row>
    <row r="572" spans="6:16" ht="15.75" customHeight="1" x14ac:dyDescent="0.2">
      <c r="F572" s="100"/>
      <c r="N572" s="62"/>
      <c r="O572" s="62"/>
      <c r="P572" s="62"/>
    </row>
    <row r="573" spans="6:16" ht="15.75" customHeight="1" x14ac:dyDescent="0.2">
      <c r="F573" s="100"/>
      <c r="N573" s="62"/>
      <c r="O573" s="62"/>
      <c r="P573" s="62"/>
    </row>
    <row r="574" spans="6:16" ht="15.75" customHeight="1" x14ac:dyDescent="0.2">
      <c r="F574" s="100"/>
      <c r="N574" s="62"/>
      <c r="O574" s="62"/>
      <c r="P574" s="62"/>
    </row>
    <row r="575" spans="6:16" ht="15.75" customHeight="1" x14ac:dyDescent="0.2">
      <c r="F575" s="100"/>
      <c r="N575" s="62"/>
      <c r="O575" s="62"/>
      <c r="P575" s="62"/>
    </row>
    <row r="576" spans="6:16" ht="15.75" customHeight="1" x14ac:dyDescent="0.2">
      <c r="F576" s="100"/>
      <c r="N576" s="62"/>
      <c r="O576" s="62"/>
      <c r="P576" s="62"/>
    </row>
    <row r="577" spans="6:16" ht="15.75" customHeight="1" x14ac:dyDescent="0.2">
      <c r="F577" s="100"/>
      <c r="N577" s="62"/>
      <c r="O577" s="62"/>
      <c r="P577" s="62"/>
    </row>
    <row r="578" spans="6:16" ht="15.75" customHeight="1" x14ac:dyDescent="0.2">
      <c r="F578" s="100"/>
      <c r="N578" s="62"/>
      <c r="O578" s="62"/>
      <c r="P578" s="62"/>
    </row>
    <row r="579" spans="6:16" ht="15.75" customHeight="1" x14ac:dyDescent="0.2">
      <c r="F579" s="100"/>
      <c r="N579" s="62"/>
      <c r="O579" s="62"/>
      <c r="P579" s="62"/>
    </row>
    <row r="580" spans="6:16" ht="15.75" customHeight="1" x14ac:dyDescent="0.2">
      <c r="F580" s="100"/>
      <c r="N580" s="62"/>
      <c r="O580" s="62"/>
      <c r="P580" s="62"/>
    </row>
    <row r="581" spans="6:16" ht="15.75" customHeight="1" x14ac:dyDescent="0.2">
      <c r="F581" s="100"/>
      <c r="N581" s="62"/>
      <c r="O581" s="62"/>
      <c r="P581" s="62"/>
    </row>
    <row r="582" spans="6:16" ht="15.75" customHeight="1" x14ac:dyDescent="0.2">
      <c r="F582" s="100"/>
      <c r="N582" s="62"/>
      <c r="O582" s="62"/>
      <c r="P582" s="62"/>
    </row>
    <row r="583" spans="6:16" ht="15.75" customHeight="1" x14ac:dyDescent="0.2">
      <c r="F583" s="100"/>
      <c r="N583" s="62"/>
      <c r="O583" s="62"/>
      <c r="P583" s="62"/>
    </row>
    <row r="584" spans="6:16" ht="15.75" customHeight="1" x14ac:dyDescent="0.2">
      <c r="F584" s="100"/>
      <c r="N584" s="62"/>
      <c r="O584" s="62"/>
      <c r="P584" s="62"/>
    </row>
    <row r="585" spans="6:16" ht="15.75" customHeight="1" x14ac:dyDescent="0.2">
      <c r="F585" s="100"/>
      <c r="N585" s="62"/>
      <c r="O585" s="62"/>
      <c r="P585" s="62"/>
    </row>
    <row r="586" spans="6:16" ht="15.75" customHeight="1" x14ac:dyDescent="0.2">
      <c r="F586" s="100"/>
      <c r="N586" s="62"/>
      <c r="O586" s="62"/>
      <c r="P586" s="62"/>
    </row>
    <row r="587" spans="6:16" ht="15.75" customHeight="1" x14ac:dyDescent="0.2">
      <c r="F587" s="100"/>
      <c r="N587" s="62"/>
      <c r="O587" s="62"/>
      <c r="P587" s="62"/>
    </row>
    <row r="588" spans="6:16" ht="15.75" customHeight="1" x14ac:dyDescent="0.2">
      <c r="F588" s="100"/>
      <c r="N588" s="62"/>
      <c r="O588" s="62"/>
      <c r="P588" s="62"/>
    </row>
    <row r="589" spans="6:16" ht="15.75" customHeight="1" x14ac:dyDescent="0.2">
      <c r="F589" s="100"/>
      <c r="N589" s="62"/>
      <c r="O589" s="62"/>
      <c r="P589" s="62"/>
    </row>
    <row r="590" spans="6:16" ht="15.75" customHeight="1" x14ac:dyDescent="0.2">
      <c r="F590" s="100"/>
      <c r="N590" s="62"/>
      <c r="O590" s="62"/>
      <c r="P590" s="62"/>
    </row>
    <row r="591" spans="6:16" ht="15.75" customHeight="1" x14ac:dyDescent="0.2">
      <c r="F591" s="100"/>
      <c r="N591" s="62"/>
      <c r="O591" s="62"/>
      <c r="P591" s="62"/>
    </row>
    <row r="592" spans="6:16" ht="15.75" customHeight="1" x14ac:dyDescent="0.2">
      <c r="F592" s="100"/>
      <c r="N592" s="62"/>
      <c r="O592" s="62"/>
      <c r="P592" s="62"/>
    </row>
    <row r="593" spans="6:16" ht="15.75" customHeight="1" x14ac:dyDescent="0.2">
      <c r="F593" s="100"/>
      <c r="N593" s="62"/>
      <c r="O593" s="62"/>
      <c r="P593" s="62"/>
    </row>
    <row r="594" spans="6:16" ht="15.75" customHeight="1" x14ac:dyDescent="0.2">
      <c r="F594" s="100"/>
      <c r="N594" s="62"/>
      <c r="O594" s="62"/>
      <c r="P594" s="62"/>
    </row>
    <row r="595" spans="6:16" ht="15.75" customHeight="1" x14ac:dyDescent="0.2">
      <c r="F595" s="100"/>
      <c r="N595" s="62"/>
      <c r="O595" s="62"/>
      <c r="P595" s="62"/>
    </row>
    <row r="596" spans="6:16" ht="15.75" customHeight="1" x14ac:dyDescent="0.2">
      <c r="F596" s="100"/>
      <c r="N596" s="62"/>
      <c r="O596" s="62"/>
      <c r="P596" s="62"/>
    </row>
    <row r="597" spans="6:16" ht="15.75" customHeight="1" x14ac:dyDescent="0.2">
      <c r="F597" s="100"/>
      <c r="N597" s="62"/>
      <c r="O597" s="62"/>
      <c r="P597" s="62"/>
    </row>
    <row r="598" spans="6:16" ht="15.75" customHeight="1" x14ac:dyDescent="0.2">
      <c r="F598" s="100"/>
      <c r="N598" s="62"/>
      <c r="O598" s="62"/>
      <c r="P598" s="62"/>
    </row>
    <row r="599" spans="6:16" ht="15.75" customHeight="1" x14ac:dyDescent="0.2">
      <c r="F599" s="100"/>
      <c r="N599" s="62"/>
      <c r="O599" s="62"/>
      <c r="P599" s="62"/>
    </row>
    <row r="600" spans="6:16" ht="15.75" customHeight="1" x14ac:dyDescent="0.2">
      <c r="F600" s="100"/>
      <c r="N600" s="62"/>
      <c r="O600" s="62"/>
      <c r="P600" s="62"/>
    </row>
    <row r="601" spans="6:16" ht="15.75" customHeight="1" x14ac:dyDescent="0.2">
      <c r="F601" s="100"/>
      <c r="N601" s="62"/>
      <c r="O601" s="62"/>
      <c r="P601" s="62"/>
    </row>
    <row r="602" spans="6:16" ht="15.75" customHeight="1" x14ac:dyDescent="0.2">
      <c r="F602" s="100"/>
      <c r="N602" s="62"/>
      <c r="O602" s="62"/>
      <c r="P602" s="62"/>
    </row>
    <row r="603" spans="6:16" ht="15.75" customHeight="1" x14ac:dyDescent="0.2">
      <c r="F603" s="100"/>
      <c r="N603" s="62"/>
      <c r="O603" s="62"/>
      <c r="P603" s="62"/>
    </row>
    <row r="604" spans="6:16" ht="15.75" customHeight="1" x14ac:dyDescent="0.2">
      <c r="F604" s="100"/>
      <c r="N604" s="62"/>
      <c r="O604" s="62"/>
      <c r="P604" s="62"/>
    </row>
    <row r="605" spans="6:16" ht="15.75" customHeight="1" x14ac:dyDescent="0.2">
      <c r="F605" s="100"/>
      <c r="N605" s="62"/>
      <c r="O605" s="62"/>
      <c r="P605" s="62"/>
    </row>
    <row r="606" spans="6:16" ht="15.75" customHeight="1" x14ac:dyDescent="0.2">
      <c r="F606" s="100"/>
      <c r="N606" s="62"/>
      <c r="O606" s="62"/>
      <c r="P606" s="62"/>
    </row>
    <row r="607" spans="6:16" ht="15.75" customHeight="1" x14ac:dyDescent="0.2">
      <c r="F607" s="100"/>
      <c r="N607" s="62"/>
      <c r="O607" s="62"/>
      <c r="P607" s="62"/>
    </row>
    <row r="608" spans="6:16" ht="15.75" customHeight="1" x14ac:dyDescent="0.2">
      <c r="F608" s="100"/>
      <c r="N608" s="62"/>
      <c r="O608" s="62"/>
      <c r="P608" s="62"/>
    </row>
    <row r="609" spans="6:16" ht="15.75" customHeight="1" x14ac:dyDescent="0.2">
      <c r="F609" s="100"/>
      <c r="N609" s="62"/>
      <c r="O609" s="62"/>
      <c r="P609" s="62"/>
    </row>
    <row r="610" spans="6:16" ht="15.75" customHeight="1" x14ac:dyDescent="0.2">
      <c r="F610" s="100"/>
      <c r="N610" s="62"/>
      <c r="O610" s="62"/>
      <c r="P610" s="62"/>
    </row>
    <row r="611" spans="6:16" ht="15.75" customHeight="1" x14ac:dyDescent="0.2">
      <c r="F611" s="100"/>
      <c r="N611" s="62"/>
      <c r="O611" s="62"/>
      <c r="P611" s="62"/>
    </row>
    <row r="612" spans="6:16" ht="15.75" customHeight="1" x14ac:dyDescent="0.2">
      <c r="F612" s="100"/>
      <c r="N612" s="62"/>
      <c r="O612" s="62"/>
      <c r="P612" s="62"/>
    </row>
    <row r="613" spans="6:16" ht="15.75" customHeight="1" x14ac:dyDescent="0.2">
      <c r="F613" s="100"/>
      <c r="N613" s="62"/>
      <c r="O613" s="62"/>
      <c r="P613" s="62"/>
    </row>
    <row r="614" spans="6:16" ht="15.75" customHeight="1" x14ac:dyDescent="0.2">
      <c r="F614" s="100"/>
      <c r="N614" s="62"/>
      <c r="O614" s="62"/>
      <c r="P614" s="62"/>
    </row>
    <row r="615" spans="6:16" ht="15.75" customHeight="1" x14ac:dyDescent="0.2">
      <c r="F615" s="100"/>
      <c r="N615" s="62"/>
      <c r="O615" s="62"/>
      <c r="P615" s="62"/>
    </row>
    <row r="616" spans="6:16" ht="15.75" customHeight="1" x14ac:dyDescent="0.2">
      <c r="F616" s="100"/>
      <c r="N616" s="62"/>
      <c r="O616" s="62"/>
      <c r="P616" s="62"/>
    </row>
    <row r="617" spans="6:16" ht="15.75" customHeight="1" x14ac:dyDescent="0.2">
      <c r="F617" s="100"/>
      <c r="N617" s="62"/>
      <c r="O617" s="62"/>
      <c r="P617" s="62"/>
    </row>
    <row r="618" spans="6:16" ht="15.75" customHeight="1" x14ac:dyDescent="0.2">
      <c r="F618" s="100"/>
      <c r="N618" s="62"/>
      <c r="O618" s="62"/>
      <c r="P618" s="62"/>
    </row>
    <row r="619" spans="6:16" ht="15.75" customHeight="1" x14ac:dyDescent="0.2">
      <c r="F619" s="100"/>
      <c r="N619" s="62"/>
      <c r="O619" s="62"/>
      <c r="P619" s="62"/>
    </row>
    <row r="620" spans="6:16" ht="15.75" customHeight="1" x14ac:dyDescent="0.2">
      <c r="F620" s="100"/>
      <c r="N620" s="62"/>
      <c r="O620" s="62"/>
      <c r="P620" s="62"/>
    </row>
    <row r="621" spans="6:16" ht="15.75" customHeight="1" x14ac:dyDescent="0.2">
      <c r="F621" s="100"/>
      <c r="N621" s="62"/>
      <c r="O621" s="62"/>
      <c r="P621" s="62"/>
    </row>
    <row r="622" spans="6:16" ht="15.75" customHeight="1" x14ac:dyDescent="0.2">
      <c r="F622" s="100"/>
      <c r="N622" s="62"/>
      <c r="O622" s="62"/>
      <c r="P622" s="62"/>
    </row>
    <row r="623" spans="6:16" ht="15.75" customHeight="1" x14ac:dyDescent="0.2">
      <c r="F623" s="100"/>
      <c r="N623" s="62"/>
      <c r="O623" s="62"/>
      <c r="P623" s="62"/>
    </row>
    <row r="624" spans="6:16" ht="15.75" customHeight="1" x14ac:dyDescent="0.2">
      <c r="F624" s="100"/>
      <c r="N624" s="62"/>
      <c r="O624" s="62"/>
      <c r="P624" s="62"/>
    </row>
    <row r="625" spans="6:16" ht="15.75" customHeight="1" x14ac:dyDescent="0.2">
      <c r="F625" s="100"/>
      <c r="N625" s="62"/>
      <c r="O625" s="62"/>
      <c r="P625" s="62"/>
    </row>
    <row r="626" spans="6:16" ht="15.75" customHeight="1" x14ac:dyDescent="0.2">
      <c r="F626" s="100"/>
      <c r="N626" s="62"/>
      <c r="O626" s="62"/>
      <c r="P626" s="62"/>
    </row>
    <row r="627" spans="6:16" ht="15.75" customHeight="1" x14ac:dyDescent="0.2">
      <c r="F627" s="100"/>
      <c r="N627" s="62"/>
      <c r="O627" s="62"/>
      <c r="P627" s="62"/>
    </row>
    <row r="628" spans="6:16" ht="15.75" customHeight="1" x14ac:dyDescent="0.2">
      <c r="F628" s="100"/>
      <c r="N628" s="62"/>
      <c r="O628" s="62"/>
      <c r="P628" s="62"/>
    </row>
    <row r="629" spans="6:16" ht="15.75" customHeight="1" x14ac:dyDescent="0.2">
      <c r="F629" s="100"/>
      <c r="N629" s="62"/>
      <c r="O629" s="62"/>
      <c r="P629" s="62"/>
    </row>
    <row r="630" spans="6:16" ht="15.75" customHeight="1" x14ac:dyDescent="0.2">
      <c r="F630" s="100"/>
      <c r="N630" s="62"/>
      <c r="O630" s="62"/>
      <c r="P630" s="62"/>
    </row>
    <row r="631" spans="6:16" ht="15.75" customHeight="1" x14ac:dyDescent="0.2">
      <c r="F631" s="100"/>
      <c r="N631" s="62"/>
      <c r="O631" s="62"/>
      <c r="P631" s="62"/>
    </row>
    <row r="632" spans="6:16" ht="15.75" customHeight="1" x14ac:dyDescent="0.2">
      <c r="F632" s="100"/>
      <c r="N632" s="62"/>
      <c r="O632" s="62"/>
      <c r="P632" s="62"/>
    </row>
    <row r="633" spans="6:16" ht="15.75" customHeight="1" x14ac:dyDescent="0.2">
      <c r="F633" s="100"/>
      <c r="N633" s="62"/>
      <c r="O633" s="62"/>
      <c r="P633" s="62"/>
    </row>
    <row r="634" spans="6:16" ht="15.75" customHeight="1" x14ac:dyDescent="0.2">
      <c r="F634" s="100"/>
      <c r="N634" s="62"/>
      <c r="O634" s="62"/>
      <c r="P634" s="62"/>
    </row>
    <row r="635" spans="6:16" ht="15.75" customHeight="1" x14ac:dyDescent="0.2">
      <c r="F635" s="100"/>
      <c r="N635" s="62"/>
      <c r="O635" s="62"/>
      <c r="P635" s="62"/>
    </row>
    <row r="636" spans="6:16" ht="15.75" customHeight="1" x14ac:dyDescent="0.2">
      <c r="F636" s="100"/>
      <c r="N636" s="62"/>
      <c r="O636" s="62"/>
      <c r="P636" s="62"/>
    </row>
    <row r="637" spans="6:16" ht="15.75" customHeight="1" x14ac:dyDescent="0.2">
      <c r="F637" s="100"/>
      <c r="N637" s="62"/>
      <c r="O637" s="62"/>
      <c r="P637" s="62"/>
    </row>
    <row r="638" spans="6:16" ht="15.75" customHeight="1" x14ac:dyDescent="0.2">
      <c r="F638" s="100"/>
      <c r="N638" s="62"/>
      <c r="O638" s="62"/>
      <c r="P638" s="62"/>
    </row>
    <row r="639" spans="6:16" ht="15.75" customHeight="1" x14ac:dyDescent="0.2">
      <c r="F639" s="100"/>
      <c r="N639" s="62"/>
      <c r="O639" s="62"/>
      <c r="P639" s="62"/>
    </row>
    <row r="640" spans="6:16" ht="15.75" customHeight="1" x14ac:dyDescent="0.2">
      <c r="F640" s="100"/>
      <c r="N640" s="62"/>
      <c r="O640" s="62"/>
      <c r="P640" s="62"/>
    </row>
    <row r="641" spans="6:16" ht="15.75" customHeight="1" x14ac:dyDescent="0.2">
      <c r="F641" s="100"/>
      <c r="N641" s="62"/>
      <c r="O641" s="62"/>
      <c r="P641" s="62"/>
    </row>
    <row r="642" spans="6:16" ht="15.75" customHeight="1" x14ac:dyDescent="0.2">
      <c r="F642" s="100"/>
      <c r="N642" s="62"/>
      <c r="O642" s="62"/>
      <c r="P642" s="62"/>
    </row>
    <row r="643" spans="6:16" ht="15.75" customHeight="1" x14ac:dyDescent="0.2">
      <c r="F643" s="100"/>
      <c r="N643" s="62"/>
      <c r="O643" s="62"/>
      <c r="P643" s="62"/>
    </row>
    <row r="644" spans="6:16" ht="15.75" customHeight="1" x14ac:dyDescent="0.2">
      <c r="F644" s="100"/>
      <c r="N644" s="62"/>
      <c r="O644" s="62"/>
      <c r="P644" s="62"/>
    </row>
    <row r="645" spans="6:16" ht="15.75" customHeight="1" x14ac:dyDescent="0.2">
      <c r="F645" s="100"/>
      <c r="N645" s="62"/>
      <c r="O645" s="62"/>
      <c r="P645" s="62"/>
    </row>
    <row r="646" spans="6:16" ht="15.75" customHeight="1" x14ac:dyDescent="0.2">
      <c r="F646" s="100"/>
      <c r="N646" s="62"/>
      <c r="O646" s="62"/>
      <c r="P646" s="62"/>
    </row>
    <row r="647" spans="6:16" ht="15.75" customHeight="1" x14ac:dyDescent="0.2">
      <c r="F647" s="100"/>
      <c r="N647" s="62"/>
      <c r="O647" s="62"/>
      <c r="P647" s="62"/>
    </row>
    <row r="648" spans="6:16" ht="15.75" customHeight="1" x14ac:dyDescent="0.2">
      <c r="F648" s="100"/>
      <c r="N648" s="62"/>
      <c r="O648" s="62"/>
      <c r="P648" s="62"/>
    </row>
    <row r="649" spans="6:16" ht="15.75" customHeight="1" x14ac:dyDescent="0.2">
      <c r="F649" s="100"/>
      <c r="N649" s="62"/>
      <c r="O649" s="62"/>
      <c r="P649" s="62"/>
    </row>
    <row r="650" spans="6:16" ht="15.75" customHeight="1" x14ac:dyDescent="0.2">
      <c r="F650" s="100"/>
      <c r="N650" s="62"/>
      <c r="O650" s="62"/>
      <c r="P650" s="62"/>
    </row>
    <row r="651" spans="6:16" ht="15.75" customHeight="1" x14ac:dyDescent="0.2">
      <c r="F651" s="100"/>
      <c r="N651" s="62"/>
      <c r="O651" s="62"/>
      <c r="P651" s="62"/>
    </row>
    <row r="652" spans="6:16" ht="15.75" customHeight="1" x14ac:dyDescent="0.2">
      <c r="F652" s="100"/>
      <c r="N652" s="62"/>
      <c r="O652" s="62"/>
      <c r="P652" s="62"/>
    </row>
    <row r="653" spans="6:16" ht="15.75" customHeight="1" x14ac:dyDescent="0.2">
      <c r="F653" s="100"/>
      <c r="N653" s="62"/>
      <c r="O653" s="62"/>
      <c r="P653" s="62"/>
    </row>
    <row r="654" spans="6:16" ht="15.75" customHeight="1" x14ac:dyDescent="0.2">
      <c r="F654" s="100"/>
      <c r="N654" s="62"/>
      <c r="O654" s="62"/>
      <c r="P654" s="62"/>
    </row>
    <row r="655" spans="6:16" ht="15.75" customHeight="1" x14ac:dyDescent="0.2">
      <c r="F655" s="100"/>
      <c r="N655" s="62"/>
      <c r="O655" s="62"/>
      <c r="P655" s="62"/>
    </row>
    <row r="656" spans="6:16" ht="15.75" customHeight="1" x14ac:dyDescent="0.2">
      <c r="F656" s="100"/>
      <c r="N656" s="62"/>
      <c r="O656" s="62"/>
      <c r="P656" s="62"/>
    </row>
    <row r="657" spans="6:16" ht="15.75" customHeight="1" x14ac:dyDescent="0.2">
      <c r="F657" s="100"/>
      <c r="N657" s="62"/>
      <c r="O657" s="62"/>
      <c r="P657" s="62"/>
    </row>
    <row r="658" spans="6:16" ht="15.75" customHeight="1" x14ac:dyDescent="0.2">
      <c r="F658" s="100"/>
      <c r="N658" s="62"/>
      <c r="O658" s="62"/>
      <c r="P658" s="62"/>
    </row>
    <row r="659" spans="6:16" ht="15.75" customHeight="1" x14ac:dyDescent="0.2">
      <c r="F659" s="100"/>
      <c r="N659" s="62"/>
      <c r="O659" s="62"/>
      <c r="P659" s="62"/>
    </row>
    <row r="660" spans="6:16" ht="15.75" customHeight="1" x14ac:dyDescent="0.2">
      <c r="F660" s="100"/>
      <c r="N660" s="62"/>
      <c r="O660" s="62"/>
      <c r="P660" s="62"/>
    </row>
    <row r="661" spans="6:16" ht="15.75" customHeight="1" x14ac:dyDescent="0.2">
      <c r="F661" s="100"/>
      <c r="N661" s="62"/>
      <c r="O661" s="62"/>
      <c r="P661" s="62"/>
    </row>
    <row r="662" spans="6:16" ht="15.75" customHeight="1" x14ac:dyDescent="0.2">
      <c r="F662" s="100"/>
      <c r="N662" s="62"/>
      <c r="O662" s="62"/>
      <c r="P662" s="62"/>
    </row>
    <row r="663" spans="6:16" ht="15.75" customHeight="1" x14ac:dyDescent="0.2">
      <c r="F663" s="100"/>
      <c r="N663" s="62"/>
      <c r="O663" s="62"/>
      <c r="P663" s="62"/>
    </row>
    <row r="664" spans="6:16" ht="15.75" customHeight="1" x14ac:dyDescent="0.2">
      <c r="F664" s="100"/>
      <c r="N664" s="62"/>
      <c r="O664" s="62"/>
      <c r="P664" s="62"/>
    </row>
    <row r="665" spans="6:16" ht="15.75" customHeight="1" x14ac:dyDescent="0.2">
      <c r="F665" s="100"/>
      <c r="N665" s="62"/>
      <c r="O665" s="62"/>
      <c r="P665" s="62"/>
    </row>
    <row r="666" spans="6:16" ht="15.75" customHeight="1" x14ac:dyDescent="0.2">
      <c r="F666" s="100"/>
      <c r="N666" s="62"/>
      <c r="O666" s="62"/>
      <c r="P666" s="62"/>
    </row>
    <row r="667" spans="6:16" ht="15.75" customHeight="1" x14ac:dyDescent="0.2">
      <c r="F667" s="100"/>
      <c r="N667" s="62"/>
      <c r="O667" s="62"/>
      <c r="P667" s="62"/>
    </row>
    <row r="668" spans="6:16" ht="15.75" customHeight="1" x14ac:dyDescent="0.2">
      <c r="F668" s="100"/>
      <c r="N668" s="62"/>
      <c r="O668" s="62"/>
      <c r="P668" s="62"/>
    </row>
    <row r="669" spans="6:16" ht="15.75" customHeight="1" x14ac:dyDescent="0.2">
      <c r="F669" s="100"/>
      <c r="N669" s="62"/>
      <c r="O669" s="62"/>
      <c r="P669" s="62"/>
    </row>
    <row r="670" spans="6:16" ht="15.75" customHeight="1" x14ac:dyDescent="0.2">
      <c r="F670" s="100"/>
      <c r="N670" s="62"/>
      <c r="O670" s="62"/>
      <c r="P670" s="62"/>
    </row>
    <row r="671" spans="6:16" ht="15.75" customHeight="1" x14ac:dyDescent="0.2">
      <c r="F671" s="100"/>
      <c r="N671" s="62"/>
      <c r="O671" s="62"/>
      <c r="P671" s="62"/>
    </row>
    <row r="672" spans="6:16" ht="15.75" customHeight="1" x14ac:dyDescent="0.2">
      <c r="F672" s="100"/>
      <c r="N672" s="62"/>
      <c r="O672" s="62"/>
      <c r="P672" s="62"/>
    </row>
    <row r="673" spans="6:16" ht="15.75" customHeight="1" x14ac:dyDescent="0.2">
      <c r="F673" s="100"/>
      <c r="N673" s="62"/>
      <c r="O673" s="62"/>
      <c r="P673" s="62"/>
    </row>
    <row r="674" spans="6:16" ht="15.75" customHeight="1" x14ac:dyDescent="0.2">
      <c r="F674" s="100"/>
      <c r="N674" s="62"/>
      <c r="O674" s="62"/>
      <c r="P674" s="62"/>
    </row>
    <row r="675" spans="6:16" ht="15.75" customHeight="1" x14ac:dyDescent="0.2">
      <c r="F675" s="100"/>
      <c r="N675" s="62"/>
      <c r="O675" s="62"/>
      <c r="P675" s="62"/>
    </row>
    <row r="676" spans="6:16" ht="15.75" customHeight="1" x14ac:dyDescent="0.2">
      <c r="F676" s="100"/>
      <c r="N676" s="62"/>
      <c r="O676" s="62"/>
      <c r="P676" s="62"/>
    </row>
    <row r="677" spans="6:16" ht="15.75" customHeight="1" x14ac:dyDescent="0.2">
      <c r="F677" s="100"/>
      <c r="N677" s="62"/>
      <c r="O677" s="62"/>
      <c r="P677" s="62"/>
    </row>
    <row r="678" spans="6:16" ht="15.75" customHeight="1" x14ac:dyDescent="0.2">
      <c r="F678" s="100"/>
      <c r="N678" s="62"/>
      <c r="O678" s="62"/>
      <c r="P678" s="62"/>
    </row>
    <row r="679" spans="6:16" ht="15.75" customHeight="1" x14ac:dyDescent="0.2">
      <c r="F679" s="100"/>
      <c r="N679" s="62"/>
      <c r="O679" s="62"/>
      <c r="P679" s="62"/>
    </row>
    <row r="680" spans="6:16" ht="15.75" customHeight="1" x14ac:dyDescent="0.2">
      <c r="F680" s="100"/>
      <c r="N680" s="62"/>
      <c r="O680" s="62"/>
      <c r="P680" s="62"/>
    </row>
    <row r="681" spans="6:16" ht="15.75" customHeight="1" x14ac:dyDescent="0.2">
      <c r="F681" s="100"/>
      <c r="N681" s="62"/>
      <c r="O681" s="62"/>
      <c r="P681" s="62"/>
    </row>
    <row r="682" spans="6:16" ht="15.75" customHeight="1" x14ac:dyDescent="0.2">
      <c r="F682" s="100"/>
      <c r="N682" s="62"/>
      <c r="O682" s="62"/>
      <c r="P682" s="62"/>
    </row>
    <row r="683" spans="6:16" ht="15.75" customHeight="1" x14ac:dyDescent="0.2">
      <c r="F683" s="100"/>
      <c r="N683" s="62"/>
      <c r="O683" s="62"/>
      <c r="P683" s="62"/>
    </row>
    <row r="684" spans="6:16" ht="15.75" customHeight="1" x14ac:dyDescent="0.2">
      <c r="F684" s="100"/>
      <c r="N684" s="62"/>
      <c r="O684" s="62"/>
      <c r="P684" s="62"/>
    </row>
    <row r="685" spans="6:16" ht="15.75" customHeight="1" x14ac:dyDescent="0.2">
      <c r="F685" s="100"/>
      <c r="N685" s="62"/>
      <c r="O685" s="62"/>
      <c r="P685" s="62"/>
    </row>
    <row r="686" spans="6:16" ht="15.75" customHeight="1" x14ac:dyDescent="0.2">
      <c r="F686" s="100"/>
      <c r="N686" s="62"/>
      <c r="O686" s="62"/>
      <c r="P686" s="62"/>
    </row>
    <row r="687" spans="6:16" ht="15.75" customHeight="1" x14ac:dyDescent="0.2">
      <c r="F687" s="100"/>
      <c r="N687" s="62"/>
      <c r="O687" s="62"/>
      <c r="P687" s="62"/>
    </row>
    <row r="688" spans="6:16" ht="15.75" customHeight="1" x14ac:dyDescent="0.2">
      <c r="F688" s="100"/>
      <c r="N688" s="62"/>
      <c r="O688" s="62"/>
      <c r="P688" s="62"/>
    </row>
    <row r="689" spans="6:16" ht="15.75" customHeight="1" x14ac:dyDescent="0.2">
      <c r="F689" s="100"/>
      <c r="N689" s="62"/>
      <c r="O689" s="62"/>
      <c r="P689" s="62"/>
    </row>
    <row r="690" spans="6:16" ht="15.75" customHeight="1" x14ac:dyDescent="0.2">
      <c r="F690" s="100"/>
      <c r="N690" s="62"/>
      <c r="O690" s="62"/>
      <c r="P690" s="62"/>
    </row>
    <row r="691" spans="6:16" ht="15.75" customHeight="1" x14ac:dyDescent="0.2">
      <c r="F691" s="100"/>
      <c r="N691" s="62"/>
      <c r="O691" s="62"/>
      <c r="P691" s="62"/>
    </row>
    <row r="692" spans="6:16" ht="15.75" customHeight="1" x14ac:dyDescent="0.2">
      <c r="F692" s="100"/>
      <c r="N692" s="62"/>
      <c r="O692" s="62"/>
      <c r="P692" s="62"/>
    </row>
    <row r="693" spans="6:16" ht="15.75" customHeight="1" x14ac:dyDescent="0.2">
      <c r="F693" s="100"/>
      <c r="N693" s="62"/>
      <c r="O693" s="62"/>
      <c r="P693" s="62"/>
    </row>
    <row r="694" spans="6:16" ht="15.75" customHeight="1" x14ac:dyDescent="0.2">
      <c r="F694" s="100"/>
      <c r="N694" s="62"/>
      <c r="O694" s="62"/>
      <c r="P694" s="62"/>
    </row>
    <row r="695" spans="6:16" ht="15.75" customHeight="1" x14ac:dyDescent="0.2">
      <c r="F695" s="100"/>
      <c r="N695" s="62"/>
      <c r="O695" s="62"/>
      <c r="P695" s="62"/>
    </row>
    <row r="696" spans="6:16" ht="15.75" customHeight="1" x14ac:dyDescent="0.2">
      <c r="F696" s="100"/>
      <c r="N696" s="62"/>
      <c r="O696" s="62"/>
      <c r="P696" s="62"/>
    </row>
    <row r="697" spans="6:16" ht="15.75" customHeight="1" x14ac:dyDescent="0.2">
      <c r="F697" s="100"/>
      <c r="N697" s="62"/>
      <c r="O697" s="62"/>
      <c r="P697" s="62"/>
    </row>
    <row r="698" spans="6:16" ht="15.75" customHeight="1" x14ac:dyDescent="0.2">
      <c r="F698" s="100"/>
      <c r="N698" s="62"/>
      <c r="O698" s="62"/>
      <c r="P698" s="62"/>
    </row>
    <row r="699" spans="6:16" ht="15.75" customHeight="1" x14ac:dyDescent="0.2">
      <c r="F699" s="100"/>
      <c r="N699" s="62"/>
      <c r="O699" s="62"/>
      <c r="P699" s="62"/>
    </row>
    <row r="700" spans="6:16" ht="15.75" customHeight="1" x14ac:dyDescent="0.2">
      <c r="F700" s="100"/>
      <c r="N700" s="62"/>
      <c r="O700" s="62"/>
      <c r="P700" s="62"/>
    </row>
    <row r="701" spans="6:16" ht="15.75" customHeight="1" x14ac:dyDescent="0.2">
      <c r="F701" s="100"/>
      <c r="N701" s="62"/>
      <c r="O701" s="62"/>
      <c r="P701" s="62"/>
    </row>
    <row r="702" spans="6:16" ht="15.75" customHeight="1" x14ac:dyDescent="0.2">
      <c r="F702" s="100"/>
      <c r="N702" s="62"/>
      <c r="O702" s="62"/>
      <c r="P702" s="62"/>
    </row>
    <row r="703" spans="6:16" ht="15.75" customHeight="1" x14ac:dyDescent="0.2">
      <c r="F703" s="100"/>
      <c r="N703" s="62"/>
      <c r="O703" s="62"/>
      <c r="P703" s="62"/>
    </row>
    <row r="704" spans="6:16" ht="15.75" customHeight="1" x14ac:dyDescent="0.2">
      <c r="F704" s="100"/>
      <c r="N704" s="62"/>
      <c r="O704" s="62"/>
      <c r="P704" s="62"/>
    </row>
    <row r="705" spans="6:16" ht="15.75" customHeight="1" x14ac:dyDescent="0.2">
      <c r="F705" s="100"/>
      <c r="N705" s="62"/>
      <c r="O705" s="62"/>
      <c r="P705" s="62"/>
    </row>
    <row r="706" spans="6:16" ht="15.75" customHeight="1" x14ac:dyDescent="0.2">
      <c r="F706" s="100"/>
      <c r="N706" s="62"/>
      <c r="O706" s="62"/>
      <c r="P706" s="62"/>
    </row>
    <row r="707" spans="6:16" ht="15.75" customHeight="1" x14ac:dyDescent="0.2">
      <c r="F707" s="100"/>
      <c r="N707" s="62"/>
      <c r="O707" s="62"/>
      <c r="P707" s="62"/>
    </row>
    <row r="708" spans="6:16" ht="15.75" customHeight="1" x14ac:dyDescent="0.2">
      <c r="F708" s="100"/>
      <c r="N708" s="62"/>
      <c r="O708" s="62"/>
      <c r="P708" s="62"/>
    </row>
    <row r="709" spans="6:16" ht="15.75" customHeight="1" x14ac:dyDescent="0.2">
      <c r="F709" s="100"/>
      <c r="N709" s="62"/>
      <c r="O709" s="62"/>
      <c r="P709" s="62"/>
    </row>
    <row r="710" spans="6:16" ht="15.75" customHeight="1" x14ac:dyDescent="0.2">
      <c r="F710" s="100"/>
      <c r="N710" s="62"/>
      <c r="O710" s="62"/>
      <c r="P710" s="62"/>
    </row>
    <row r="711" spans="6:16" ht="15.75" customHeight="1" x14ac:dyDescent="0.2">
      <c r="F711" s="100"/>
      <c r="N711" s="62"/>
      <c r="O711" s="62"/>
      <c r="P711" s="62"/>
    </row>
    <row r="712" spans="6:16" ht="15.75" customHeight="1" x14ac:dyDescent="0.2">
      <c r="F712" s="100"/>
      <c r="N712" s="62"/>
      <c r="O712" s="62"/>
      <c r="P712" s="62"/>
    </row>
    <row r="713" spans="6:16" ht="15.75" customHeight="1" x14ac:dyDescent="0.2">
      <c r="F713" s="100"/>
      <c r="N713" s="62"/>
      <c r="O713" s="62"/>
      <c r="P713" s="62"/>
    </row>
    <row r="714" spans="6:16" ht="15.75" customHeight="1" x14ac:dyDescent="0.2">
      <c r="F714" s="100"/>
      <c r="N714" s="62"/>
      <c r="O714" s="62"/>
      <c r="P714" s="62"/>
    </row>
    <row r="715" spans="6:16" ht="15.75" customHeight="1" x14ac:dyDescent="0.2">
      <c r="F715" s="100"/>
      <c r="N715" s="62"/>
      <c r="O715" s="62"/>
      <c r="P715" s="62"/>
    </row>
    <row r="716" spans="6:16" ht="15.75" customHeight="1" x14ac:dyDescent="0.2">
      <c r="F716" s="100"/>
      <c r="N716" s="62"/>
      <c r="O716" s="62"/>
      <c r="P716" s="62"/>
    </row>
    <row r="717" spans="6:16" ht="15.75" customHeight="1" x14ac:dyDescent="0.2">
      <c r="F717" s="100"/>
      <c r="N717" s="62"/>
      <c r="O717" s="62"/>
      <c r="P717" s="62"/>
    </row>
    <row r="718" spans="6:16" ht="15.75" customHeight="1" x14ac:dyDescent="0.2">
      <c r="F718" s="100"/>
      <c r="N718" s="62"/>
      <c r="O718" s="62"/>
      <c r="P718" s="62"/>
    </row>
    <row r="719" spans="6:16" ht="15.75" customHeight="1" x14ac:dyDescent="0.2">
      <c r="F719" s="100"/>
      <c r="N719" s="62"/>
      <c r="O719" s="62"/>
      <c r="P719" s="62"/>
    </row>
    <row r="720" spans="6:16" ht="15.75" customHeight="1" x14ac:dyDescent="0.2">
      <c r="F720" s="100"/>
      <c r="N720" s="62"/>
      <c r="O720" s="62"/>
      <c r="P720" s="62"/>
    </row>
    <row r="721" spans="6:16" ht="15.75" customHeight="1" x14ac:dyDescent="0.2">
      <c r="F721" s="100"/>
      <c r="N721" s="62"/>
      <c r="O721" s="62"/>
      <c r="P721" s="62"/>
    </row>
    <row r="722" spans="6:16" ht="15.75" customHeight="1" x14ac:dyDescent="0.2">
      <c r="F722" s="100"/>
      <c r="N722" s="62"/>
      <c r="O722" s="62"/>
      <c r="P722" s="62"/>
    </row>
    <row r="723" spans="6:16" ht="15.75" customHeight="1" x14ac:dyDescent="0.2">
      <c r="F723" s="100"/>
      <c r="N723" s="62"/>
      <c r="O723" s="62"/>
      <c r="P723" s="62"/>
    </row>
    <row r="724" spans="6:16" ht="15.75" customHeight="1" x14ac:dyDescent="0.2">
      <c r="F724" s="100"/>
      <c r="N724" s="62"/>
      <c r="O724" s="62"/>
      <c r="P724" s="62"/>
    </row>
    <row r="725" spans="6:16" ht="15.75" customHeight="1" x14ac:dyDescent="0.2">
      <c r="F725" s="100"/>
      <c r="N725" s="62"/>
      <c r="O725" s="62"/>
      <c r="P725" s="62"/>
    </row>
    <row r="726" spans="6:16" ht="15.75" customHeight="1" x14ac:dyDescent="0.2">
      <c r="F726" s="100"/>
      <c r="N726" s="62"/>
      <c r="O726" s="62"/>
      <c r="P726" s="62"/>
    </row>
    <row r="727" spans="6:16" ht="15.75" customHeight="1" x14ac:dyDescent="0.2">
      <c r="F727" s="100"/>
      <c r="N727" s="62"/>
      <c r="O727" s="62"/>
      <c r="P727" s="62"/>
    </row>
    <row r="728" spans="6:16" ht="15.75" customHeight="1" x14ac:dyDescent="0.2">
      <c r="F728" s="100"/>
      <c r="N728" s="62"/>
      <c r="O728" s="62"/>
      <c r="P728" s="62"/>
    </row>
    <row r="729" spans="6:16" ht="15.75" customHeight="1" x14ac:dyDescent="0.2">
      <c r="F729" s="100"/>
      <c r="N729" s="62"/>
      <c r="O729" s="62"/>
      <c r="P729" s="62"/>
    </row>
    <row r="730" spans="6:16" ht="15.75" customHeight="1" x14ac:dyDescent="0.2">
      <c r="F730" s="100"/>
      <c r="N730" s="62"/>
      <c r="O730" s="62"/>
      <c r="P730" s="62"/>
    </row>
    <row r="731" spans="6:16" ht="15.75" customHeight="1" x14ac:dyDescent="0.2">
      <c r="F731" s="100"/>
      <c r="N731" s="62"/>
      <c r="O731" s="62"/>
      <c r="P731" s="62"/>
    </row>
    <row r="732" spans="6:16" ht="15.75" customHeight="1" x14ac:dyDescent="0.2">
      <c r="F732" s="100"/>
      <c r="N732" s="62"/>
      <c r="O732" s="62"/>
      <c r="P732" s="62"/>
    </row>
    <row r="733" spans="6:16" ht="15.75" customHeight="1" x14ac:dyDescent="0.2">
      <c r="F733" s="100"/>
      <c r="N733" s="62"/>
      <c r="O733" s="62"/>
      <c r="P733" s="62"/>
    </row>
    <row r="734" spans="6:16" ht="15.75" customHeight="1" x14ac:dyDescent="0.2">
      <c r="F734" s="100"/>
      <c r="N734" s="62"/>
      <c r="O734" s="62"/>
      <c r="P734" s="62"/>
    </row>
    <row r="735" spans="6:16" ht="15.75" customHeight="1" x14ac:dyDescent="0.2">
      <c r="F735" s="100"/>
      <c r="N735" s="62"/>
      <c r="O735" s="62"/>
      <c r="P735" s="62"/>
    </row>
    <row r="736" spans="6:16" ht="15.75" customHeight="1" x14ac:dyDescent="0.2">
      <c r="F736" s="100"/>
      <c r="N736" s="62"/>
      <c r="O736" s="62"/>
      <c r="P736" s="62"/>
    </row>
    <row r="737" spans="6:16" ht="15.75" customHeight="1" x14ac:dyDescent="0.2">
      <c r="F737" s="100"/>
      <c r="N737" s="62"/>
      <c r="O737" s="62"/>
      <c r="P737" s="62"/>
    </row>
    <row r="738" spans="6:16" ht="15.75" customHeight="1" x14ac:dyDescent="0.2">
      <c r="F738" s="100"/>
      <c r="N738" s="62"/>
      <c r="O738" s="62"/>
      <c r="P738" s="62"/>
    </row>
    <row r="739" spans="6:16" ht="15.75" customHeight="1" x14ac:dyDescent="0.2">
      <c r="F739" s="100"/>
      <c r="N739" s="62"/>
      <c r="O739" s="62"/>
      <c r="P739" s="62"/>
    </row>
    <row r="740" spans="6:16" ht="15.75" customHeight="1" x14ac:dyDescent="0.2">
      <c r="F740" s="100"/>
      <c r="N740" s="62"/>
      <c r="O740" s="62"/>
      <c r="P740" s="62"/>
    </row>
    <row r="741" spans="6:16" ht="15.75" customHeight="1" x14ac:dyDescent="0.2">
      <c r="F741" s="100"/>
      <c r="N741" s="62"/>
      <c r="O741" s="62"/>
      <c r="P741" s="62"/>
    </row>
    <row r="742" spans="6:16" ht="15.75" customHeight="1" x14ac:dyDescent="0.2">
      <c r="F742" s="100"/>
      <c r="N742" s="62"/>
      <c r="O742" s="62"/>
      <c r="P742" s="62"/>
    </row>
    <row r="743" spans="6:16" ht="15.75" customHeight="1" x14ac:dyDescent="0.2">
      <c r="F743" s="100"/>
      <c r="N743" s="62"/>
      <c r="O743" s="62"/>
      <c r="P743" s="62"/>
    </row>
    <row r="744" spans="6:16" ht="15.75" customHeight="1" x14ac:dyDescent="0.2">
      <c r="F744" s="100"/>
      <c r="N744" s="62"/>
      <c r="O744" s="62"/>
      <c r="P744" s="62"/>
    </row>
    <row r="745" spans="6:16" ht="15.75" customHeight="1" x14ac:dyDescent="0.2">
      <c r="F745" s="100"/>
      <c r="N745" s="62"/>
      <c r="O745" s="62"/>
      <c r="P745" s="62"/>
    </row>
    <row r="746" spans="6:16" ht="15.75" customHeight="1" x14ac:dyDescent="0.2">
      <c r="F746" s="100"/>
      <c r="N746" s="62"/>
      <c r="O746" s="62"/>
      <c r="P746" s="62"/>
    </row>
    <row r="747" spans="6:16" ht="15.75" customHeight="1" x14ac:dyDescent="0.2">
      <c r="F747" s="100"/>
      <c r="N747" s="62"/>
      <c r="O747" s="62"/>
      <c r="P747" s="62"/>
    </row>
    <row r="748" spans="6:16" ht="15.75" customHeight="1" x14ac:dyDescent="0.2">
      <c r="F748" s="100"/>
      <c r="N748" s="62"/>
      <c r="O748" s="62"/>
      <c r="P748" s="62"/>
    </row>
    <row r="749" spans="6:16" ht="15.75" customHeight="1" x14ac:dyDescent="0.2">
      <c r="F749" s="100"/>
      <c r="N749" s="62"/>
      <c r="O749" s="62"/>
      <c r="P749" s="62"/>
    </row>
    <row r="750" spans="6:16" ht="15.75" customHeight="1" x14ac:dyDescent="0.2">
      <c r="F750" s="100"/>
      <c r="N750" s="62"/>
      <c r="O750" s="62"/>
      <c r="P750" s="62"/>
    </row>
    <row r="751" spans="6:16" ht="15.75" customHeight="1" x14ac:dyDescent="0.2">
      <c r="F751" s="100"/>
      <c r="N751" s="62"/>
      <c r="O751" s="62"/>
      <c r="P751" s="62"/>
    </row>
    <row r="752" spans="6:16" ht="15.75" customHeight="1" x14ac:dyDescent="0.2">
      <c r="F752" s="100"/>
      <c r="N752" s="62"/>
      <c r="O752" s="62"/>
      <c r="P752" s="62"/>
    </row>
    <row r="753" spans="6:16" ht="15.75" customHeight="1" x14ac:dyDescent="0.2">
      <c r="F753" s="100"/>
      <c r="N753" s="62"/>
      <c r="O753" s="62"/>
      <c r="P753" s="62"/>
    </row>
    <row r="754" spans="6:16" ht="15.75" customHeight="1" x14ac:dyDescent="0.2">
      <c r="F754" s="100"/>
      <c r="N754" s="62"/>
      <c r="O754" s="62"/>
      <c r="P754" s="62"/>
    </row>
    <row r="755" spans="6:16" ht="15.75" customHeight="1" x14ac:dyDescent="0.2">
      <c r="F755" s="100"/>
      <c r="N755" s="62"/>
      <c r="O755" s="62"/>
      <c r="P755" s="62"/>
    </row>
    <row r="756" spans="6:16" ht="15.75" customHeight="1" x14ac:dyDescent="0.2">
      <c r="F756" s="100"/>
      <c r="N756" s="62"/>
      <c r="O756" s="62"/>
      <c r="P756" s="62"/>
    </row>
    <row r="757" spans="6:16" ht="15.75" customHeight="1" x14ac:dyDescent="0.2">
      <c r="F757" s="100"/>
      <c r="N757" s="62"/>
      <c r="O757" s="62"/>
      <c r="P757" s="62"/>
    </row>
    <row r="758" spans="6:16" ht="15.75" customHeight="1" x14ac:dyDescent="0.2">
      <c r="F758" s="100"/>
      <c r="N758" s="62"/>
      <c r="O758" s="62"/>
      <c r="P758" s="62"/>
    </row>
    <row r="759" spans="6:16" ht="15.75" customHeight="1" x14ac:dyDescent="0.2">
      <c r="F759" s="100"/>
      <c r="N759" s="62"/>
      <c r="O759" s="62"/>
      <c r="P759" s="62"/>
    </row>
    <row r="760" spans="6:16" ht="15.75" customHeight="1" x14ac:dyDescent="0.2">
      <c r="F760" s="100"/>
      <c r="N760" s="62"/>
      <c r="O760" s="62"/>
      <c r="P760" s="62"/>
    </row>
    <row r="761" spans="6:16" ht="15.75" customHeight="1" x14ac:dyDescent="0.2">
      <c r="F761" s="100"/>
      <c r="N761" s="62"/>
      <c r="O761" s="62"/>
      <c r="P761" s="62"/>
    </row>
    <row r="762" spans="6:16" ht="15.75" customHeight="1" x14ac:dyDescent="0.2">
      <c r="F762" s="100"/>
      <c r="N762" s="62"/>
      <c r="O762" s="62"/>
      <c r="P762" s="62"/>
    </row>
    <row r="763" spans="6:16" ht="15.75" customHeight="1" x14ac:dyDescent="0.2">
      <c r="F763" s="100"/>
      <c r="N763" s="62"/>
      <c r="O763" s="62"/>
      <c r="P763" s="62"/>
    </row>
    <row r="764" spans="6:16" ht="15.75" customHeight="1" x14ac:dyDescent="0.2">
      <c r="F764" s="100"/>
      <c r="N764" s="62"/>
      <c r="O764" s="62"/>
      <c r="P764" s="62"/>
    </row>
    <row r="765" spans="6:16" ht="15.75" customHeight="1" x14ac:dyDescent="0.2">
      <c r="F765" s="100"/>
      <c r="N765" s="62"/>
      <c r="O765" s="62"/>
      <c r="P765" s="62"/>
    </row>
    <row r="766" spans="6:16" ht="15.75" customHeight="1" x14ac:dyDescent="0.2">
      <c r="F766" s="100"/>
      <c r="N766" s="62"/>
      <c r="O766" s="62"/>
      <c r="P766" s="62"/>
    </row>
    <row r="767" spans="6:16" ht="15.75" customHeight="1" x14ac:dyDescent="0.2">
      <c r="F767" s="100"/>
      <c r="N767" s="62"/>
      <c r="O767" s="62"/>
      <c r="P767" s="62"/>
    </row>
    <row r="768" spans="6:16" ht="15.75" customHeight="1" x14ac:dyDescent="0.2">
      <c r="F768" s="100"/>
      <c r="N768" s="62"/>
      <c r="O768" s="62"/>
      <c r="P768" s="62"/>
    </row>
    <row r="769" spans="6:16" ht="15.75" customHeight="1" x14ac:dyDescent="0.2">
      <c r="F769" s="100"/>
      <c r="N769" s="62"/>
      <c r="O769" s="62"/>
      <c r="P769" s="62"/>
    </row>
    <row r="770" spans="6:16" ht="15.75" customHeight="1" x14ac:dyDescent="0.2">
      <c r="F770" s="100"/>
      <c r="N770" s="62"/>
      <c r="O770" s="62"/>
      <c r="P770" s="62"/>
    </row>
    <row r="771" spans="6:16" ht="15.75" customHeight="1" x14ac:dyDescent="0.2">
      <c r="F771" s="100"/>
      <c r="N771" s="62"/>
      <c r="O771" s="62"/>
      <c r="P771" s="62"/>
    </row>
    <row r="772" spans="6:16" ht="15.75" customHeight="1" x14ac:dyDescent="0.2">
      <c r="F772" s="100"/>
      <c r="N772" s="62"/>
      <c r="O772" s="62"/>
      <c r="P772" s="62"/>
    </row>
    <row r="773" spans="6:16" ht="15.75" customHeight="1" x14ac:dyDescent="0.2">
      <c r="F773" s="100"/>
      <c r="N773" s="62"/>
      <c r="O773" s="62"/>
      <c r="P773" s="62"/>
    </row>
    <row r="774" spans="6:16" ht="15.75" customHeight="1" x14ac:dyDescent="0.2">
      <c r="F774" s="100"/>
      <c r="N774" s="62"/>
      <c r="O774" s="62"/>
      <c r="P774" s="62"/>
    </row>
    <row r="775" spans="6:16" ht="15.75" customHeight="1" x14ac:dyDescent="0.2">
      <c r="F775" s="100"/>
      <c r="N775" s="62"/>
      <c r="O775" s="62"/>
      <c r="P775" s="62"/>
    </row>
    <row r="776" spans="6:16" ht="15.75" customHeight="1" x14ac:dyDescent="0.2">
      <c r="F776" s="100"/>
      <c r="N776" s="62"/>
      <c r="O776" s="62"/>
      <c r="P776" s="62"/>
    </row>
    <row r="777" spans="6:16" ht="15.75" customHeight="1" x14ac:dyDescent="0.2">
      <c r="F777" s="100"/>
      <c r="N777" s="62"/>
      <c r="O777" s="62"/>
      <c r="P777" s="62"/>
    </row>
    <row r="778" spans="6:16" ht="15.75" customHeight="1" x14ac:dyDescent="0.2">
      <c r="F778" s="100"/>
      <c r="N778" s="62"/>
      <c r="O778" s="62"/>
      <c r="P778" s="62"/>
    </row>
    <row r="779" spans="6:16" ht="15.75" customHeight="1" x14ac:dyDescent="0.2">
      <c r="F779" s="100"/>
      <c r="N779" s="62"/>
      <c r="O779" s="62"/>
      <c r="P779" s="62"/>
    </row>
    <row r="780" spans="6:16" ht="15.75" customHeight="1" x14ac:dyDescent="0.2">
      <c r="F780" s="100"/>
      <c r="N780" s="62"/>
      <c r="O780" s="62"/>
      <c r="P780" s="62"/>
    </row>
    <row r="781" spans="6:16" ht="15.75" customHeight="1" x14ac:dyDescent="0.2">
      <c r="F781" s="100"/>
      <c r="N781" s="62"/>
      <c r="O781" s="62"/>
      <c r="P781" s="62"/>
    </row>
    <row r="782" spans="6:16" ht="15.75" customHeight="1" x14ac:dyDescent="0.2">
      <c r="F782" s="100"/>
      <c r="N782" s="62"/>
      <c r="O782" s="62"/>
      <c r="P782" s="62"/>
    </row>
    <row r="783" spans="6:16" ht="15.75" customHeight="1" x14ac:dyDescent="0.2">
      <c r="F783" s="100"/>
      <c r="N783" s="62"/>
      <c r="O783" s="62"/>
      <c r="P783" s="62"/>
    </row>
    <row r="784" spans="6:16" ht="15.75" customHeight="1" x14ac:dyDescent="0.2">
      <c r="F784" s="100"/>
      <c r="N784" s="62"/>
      <c r="O784" s="62"/>
      <c r="P784" s="62"/>
    </row>
    <row r="785" spans="6:16" ht="15.75" customHeight="1" x14ac:dyDescent="0.2">
      <c r="F785" s="100"/>
      <c r="N785" s="62"/>
      <c r="O785" s="62"/>
      <c r="P785" s="62"/>
    </row>
    <row r="786" spans="6:16" ht="15.75" customHeight="1" x14ac:dyDescent="0.2">
      <c r="F786" s="100"/>
      <c r="N786" s="62"/>
      <c r="O786" s="62"/>
      <c r="P786" s="62"/>
    </row>
    <row r="787" spans="6:16" ht="15.75" customHeight="1" x14ac:dyDescent="0.2">
      <c r="F787" s="100"/>
      <c r="N787" s="62"/>
      <c r="O787" s="62"/>
      <c r="P787" s="62"/>
    </row>
    <row r="788" spans="6:16" ht="15.75" customHeight="1" x14ac:dyDescent="0.2">
      <c r="F788" s="100"/>
      <c r="N788" s="62"/>
      <c r="O788" s="62"/>
      <c r="P788" s="62"/>
    </row>
    <row r="789" spans="6:16" ht="15.75" customHeight="1" x14ac:dyDescent="0.2">
      <c r="F789" s="100"/>
      <c r="N789" s="62"/>
      <c r="O789" s="62"/>
      <c r="P789" s="62"/>
    </row>
    <row r="790" spans="6:16" ht="15.75" customHeight="1" x14ac:dyDescent="0.2">
      <c r="F790" s="100"/>
      <c r="N790" s="62"/>
      <c r="O790" s="62"/>
      <c r="P790" s="62"/>
    </row>
    <row r="791" spans="6:16" ht="15.75" customHeight="1" x14ac:dyDescent="0.2">
      <c r="F791" s="100"/>
      <c r="N791" s="62"/>
      <c r="O791" s="62"/>
      <c r="P791" s="62"/>
    </row>
    <row r="792" spans="6:16" ht="15.75" customHeight="1" x14ac:dyDescent="0.2">
      <c r="F792" s="100"/>
      <c r="N792" s="62"/>
      <c r="O792" s="62"/>
      <c r="P792" s="62"/>
    </row>
    <row r="793" spans="6:16" ht="15.75" customHeight="1" x14ac:dyDescent="0.2">
      <c r="F793" s="100"/>
      <c r="N793" s="62"/>
      <c r="O793" s="62"/>
      <c r="P793" s="62"/>
    </row>
    <row r="794" spans="6:16" ht="15.75" customHeight="1" x14ac:dyDescent="0.2">
      <c r="F794" s="100"/>
      <c r="N794" s="62"/>
      <c r="O794" s="62"/>
      <c r="P794" s="62"/>
    </row>
    <row r="795" spans="6:16" ht="15.75" customHeight="1" x14ac:dyDescent="0.2">
      <c r="F795" s="100"/>
      <c r="N795" s="62"/>
      <c r="O795" s="62"/>
      <c r="P795" s="62"/>
    </row>
    <row r="796" spans="6:16" ht="15.75" customHeight="1" x14ac:dyDescent="0.2">
      <c r="F796" s="100"/>
      <c r="N796" s="62"/>
      <c r="O796" s="62"/>
      <c r="P796" s="62"/>
    </row>
    <row r="797" spans="6:16" ht="15.75" customHeight="1" x14ac:dyDescent="0.2">
      <c r="F797" s="100"/>
      <c r="N797" s="62"/>
      <c r="O797" s="62"/>
      <c r="P797" s="62"/>
    </row>
    <row r="798" spans="6:16" ht="15.75" customHeight="1" x14ac:dyDescent="0.2">
      <c r="F798" s="100"/>
      <c r="N798" s="62"/>
      <c r="O798" s="62"/>
      <c r="P798" s="62"/>
    </row>
    <row r="799" spans="6:16" ht="15.75" customHeight="1" x14ac:dyDescent="0.2">
      <c r="F799" s="100"/>
      <c r="N799" s="62"/>
      <c r="O799" s="62"/>
      <c r="P799" s="62"/>
    </row>
    <row r="800" spans="6:16" ht="15.75" customHeight="1" x14ac:dyDescent="0.2">
      <c r="F800" s="100"/>
      <c r="N800" s="62"/>
      <c r="O800" s="62"/>
      <c r="P800" s="62"/>
    </row>
    <row r="801" spans="6:16" ht="15.75" customHeight="1" x14ac:dyDescent="0.2">
      <c r="F801" s="100"/>
      <c r="N801" s="62"/>
      <c r="O801" s="62"/>
      <c r="P801" s="62"/>
    </row>
    <row r="802" spans="6:16" ht="15.75" customHeight="1" x14ac:dyDescent="0.2">
      <c r="F802" s="100"/>
      <c r="N802" s="62"/>
      <c r="O802" s="62"/>
      <c r="P802" s="62"/>
    </row>
    <row r="803" spans="6:16" ht="15.75" customHeight="1" x14ac:dyDescent="0.2">
      <c r="F803" s="100"/>
      <c r="N803" s="62"/>
      <c r="O803" s="62"/>
      <c r="P803" s="62"/>
    </row>
    <row r="804" spans="6:16" ht="15.75" customHeight="1" x14ac:dyDescent="0.2">
      <c r="F804" s="100"/>
      <c r="N804" s="62"/>
      <c r="O804" s="62"/>
      <c r="P804" s="62"/>
    </row>
    <row r="805" spans="6:16" ht="15.75" customHeight="1" x14ac:dyDescent="0.2">
      <c r="F805" s="100"/>
      <c r="N805" s="62"/>
      <c r="O805" s="62"/>
      <c r="P805" s="62"/>
    </row>
    <row r="806" spans="6:16" ht="15.75" customHeight="1" x14ac:dyDescent="0.2">
      <c r="F806" s="100"/>
      <c r="N806" s="62"/>
      <c r="O806" s="62"/>
      <c r="P806" s="62"/>
    </row>
    <row r="807" spans="6:16" ht="15.75" customHeight="1" x14ac:dyDescent="0.2">
      <c r="F807" s="100"/>
      <c r="N807" s="62"/>
      <c r="O807" s="62"/>
      <c r="P807" s="62"/>
    </row>
    <row r="808" spans="6:16" ht="15.75" customHeight="1" x14ac:dyDescent="0.2">
      <c r="F808" s="100"/>
      <c r="N808" s="62"/>
      <c r="O808" s="62"/>
      <c r="P808" s="62"/>
    </row>
    <row r="809" spans="6:16" ht="15.75" customHeight="1" x14ac:dyDescent="0.2">
      <c r="F809" s="100"/>
      <c r="N809" s="62"/>
      <c r="O809" s="62"/>
      <c r="P809" s="62"/>
    </row>
    <row r="810" spans="6:16" ht="15.75" customHeight="1" x14ac:dyDescent="0.2">
      <c r="F810" s="100"/>
      <c r="N810" s="62"/>
      <c r="O810" s="62"/>
      <c r="P810" s="62"/>
    </row>
    <row r="811" spans="6:16" ht="15.75" customHeight="1" x14ac:dyDescent="0.2">
      <c r="F811" s="100"/>
      <c r="N811" s="62"/>
      <c r="O811" s="62"/>
      <c r="P811" s="62"/>
    </row>
    <row r="812" spans="6:16" ht="15.75" customHeight="1" x14ac:dyDescent="0.2">
      <c r="F812" s="100"/>
      <c r="N812" s="62"/>
      <c r="O812" s="62"/>
      <c r="P812" s="62"/>
    </row>
    <row r="813" spans="6:16" ht="15.75" customHeight="1" x14ac:dyDescent="0.2">
      <c r="F813" s="100"/>
      <c r="N813" s="62"/>
      <c r="O813" s="62"/>
      <c r="P813" s="62"/>
    </row>
    <row r="814" spans="6:16" ht="15.75" customHeight="1" x14ac:dyDescent="0.2">
      <c r="F814" s="100"/>
      <c r="N814" s="62"/>
      <c r="O814" s="62"/>
      <c r="P814" s="62"/>
    </row>
    <row r="815" spans="6:16" ht="15.75" customHeight="1" x14ac:dyDescent="0.2">
      <c r="F815" s="100"/>
      <c r="N815" s="62"/>
      <c r="O815" s="62"/>
      <c r="P815" s="62"/>
    </row>
    <row r="816" spans="6:16" ht="15.75" customHeight="1" x14ac:dyDescent="0.2">
      <c r="F816" s="100"/>
      <c r="N816" s="62"/>
      <c r="O816" s="62"/>
      <c r="P816" s="62"/>
    </row>
    <row r="817" spans="6:16" ht="15.75" customHeight="1" x14ac:dyDescent="0.2">
      <c r="F817" s="100"/>
      <c r="N817" s="62"/>
      <c r="O817" s="62"/>
      <c r="P817" s="62"/>
    </row>
    <row r="818" spans="6:16" ht="15.75" customHeight="1" x14ac:dyDescent="0.2">
      <c r="F818" s="100"/>
      <c r="N818" s="62"/>
      <c r="O818" s="62"/>
      <c r="P818" s="62"/>
    </row>
    <row r="819" spans="6:16" ht="15.75" customHeight="1" x14ac:dyDescent="0.2">
      <c r="F819" s="100"/>
      <c r="N819" s="62"/>
      <c r="O819" s="62"/>
      <c r="P819" s="62"/>
    </row>
    <row r="820" spans="6:16" ht="15.75" customHeight="1" x14ac:dyDescent="0.2">
      <c r="F820" s="100"/>
      <c r="N820" s="62"/>
      <c r="O820" s="62"/>
      <c r="P820" s="62"/>
    </row>
    <row r="821" spans="6:16" ht="15.75" customHeight="1" x14ac:dyDescent="0.2">
      <c r="F821" s="100"/>
      <c r="N821" s="62"/>
      <c r="O821" s="62"/>
      <c r="P821" s="62"/>
    </row>
    <row r="822" spans="6:16" ht="15.75" customHeight="1" x14ac:dyDescent="0.2">
      <c r="F822" s="100"/>
      <c r="N822" s="62"/>
      <c r="O822" s="62"/>
      <c r="P822" s="62"/>
    </row>
    <row r="823" spans="6:16" ht="15.75" customHeight="1" x14ac:dyDescent="0.2">
      <c r="F823" s="100"/>
      <c r="N823" s="62"/>
      <c r="O823" s="62"/>
      <c r="P823" s="62"/>
    </row>
    <row r="824" spans="6:16" ht="15.75" customHeight="1" x14ac:dyDescent="0.2">
      <c r="F824" s="100"/>
      <c r="N824" s="62"/>
      <c r="O824" s="62"/>
      <c r="P824" s="62"/>
    </row>
    <row r="825" spans="6:16" ht="15.75" customHeight="1" x14ac:dyDescent="0.2">
      <c r="F825" s="100"/>
      <c r="N825" s="62"/>
      <c r="O825" s="62"/>
      <c r="P825" s="62"/>
    </row>
    <row r="826" spans="6:16" ht="15.75" customHeight="1" x14ac:dyDescent="0.2">
      <c r="F826" s="100"/>
      <c r="N826" s="62"/>
      <c r="O826" s="62"/>
      <c r="P826" s="62"/>
    </row>
    <row r="827" spans="6:16" ht="15.75" customHeight="1" x14ac:dyDescent="0.2">
      <c r="F827" s="100"/>
      <c r="N827" s="62"/>
      <c r="O827" s="62"/>
      <c r="P827" s="62"/>
    </row>
    <row r="828" spans="6:16" ht="15.75" customHeight="1" x14ac:dyDescent="0.2">
      <c r="F828" s="100"/>
      <c r="N828" s="62"/>
      <c r="O828" s="62"/>
      <c r="P828" s="62"/>
    </row>
    <row r="829" spans="6:16" ht="15.75" customHeight="1" x14ac:dyDescent="0.2">
      <c r="F829" s="100"/>
      <c r="N829" s="62"/>
      <c r="O829" s="62"/>
      <c r="P829" s="62"/>
    </row>
    <row r="830" spans="6:16" ht="15.75" customHeight="1" x14ac:dyDescent="0.2">
      <c r="F830" s="100"/>
      <c r="N830" s="62"/>
      <c r="O830" s="62"/>
      <c r="P830" s="62"/>
    </row>
    <row r="831" spans="6:16" ht="15.75" customHeight="1" x14ac:dyDescent="0.2">
      <c r="F831" s="100"/>
      <c r="N831" s="62"/>
      <c r="O831" s="62"/>
      <c r="P831" s="62"/>
    </row>
    <row r="832" spans="6:16" ht="15.75" customHeight="1" x14ac:dyDescent="0.2">
      <c r="F832" s="100"/>
      <c r="N832" s="62"/>
      <c r="O832" s="62"/>
      <c r="P832" s="62"/>
    </row>
    <row r="833" spans="6:16" ht="15.75" customHeight="1" x14ac:dyDescent="0.2">
      <c r="F833" s="100"/>
      <c r="N833" s="62"/>
      <c r="O833" s="62"/>
      <c r="P833" s="62"/>
    </row>
    <row r="834" spans="6:16" ht="15.75" customHeight="1" x14ac:dyDescent="0.2">
      <c r="F834" s="100"/>
      <c r="N834" s="62"/>
      <c r="O834" s="62"/>
      <c r="P834" s="62"/>
    </row>
    <row r="835" spans="6:16" ht="15.75" customHeight="1" x14ac:dyDescent="0.2">
      <c r="F835" s="100"/>
      <c r="N835" s="62"/>
      <c r="O835" s="62"/>
      <c r="P835" s="62"/>
    </row>
    <row r="836" spans="6:16" ht="15.75" customHeight="1" x14ac:dyDescent="0.2">
      <c r="F836" s="100"/>
      <c r="N836" s="62"/>
      <c r="O836" s="62"/>
      <c r="P836" s="62"/>
    </row>
    <row r="837" spans="6:16" ht="15.75" customHeight="1" x14ac:dyDescent="0.2">
      <c r="F837" s="100"/>
      <c r="N837" s="62"/>
      <c r="O837" s="62"/>
      <c r="P837" s="62"/>
    </row>
    <row r="838" spans="6:16" ht="15.75" customHeight="1" x14ac:dyDescent="0.2">
      <c r="F838" s="100"/>
      <c r="N838" s="62"/>
      <c r="O838" s="62"/>
      <c r="P838" s="62"/>
    </row>
    <row r="839" spans="6:16" ht="15.75" customHeight="1" x14ac:dyDescent="0.2">
      <c r="F839" s="100"/>
      <c r="N839" s="62"/>
      <c r="O839" s="62"/>
      <c r="P839" s="62"/>
    </row>
    <row r="840" spans="6:16" ht="15.75" customHeight="1" x14ac:dyDescent="0.2">
      <c r="F840" s="100"/>
      <c r="N840" s="62"/>
      <c r="O840" s="62"/>
      <c r="P840" s="62"/>
    </row>
    <row r="841" spans="6:16" ht="15.75" customHeight="1" x14ac:dyDescent="0.2">
      <c r="F841" s="100"/>
      <c r="N841" s="62"/>
      <c r="O841" s="62"/>
      <c r="P841" s="62"/>
    </row>
    <row r="842" spans="6:16" ht="15.75" customHeight="1" x14ac:dyDescent="0.2">
      <c r="F842" s="100"/>
      <c r="N842" s="62"/>
      <c r="O842" s="62"/>
      <c r="P842" s="62"/>
    </row>
    <row r="843" spans="6:16" ht="15.75" customHeight="1" x14ac:dyDescent="0.2">
      <c r="F843" s="100"/>
      <c r="N843" s="62"/>
      <c r="O843" s="62"/>
      <c r="P843" s="62"/>
    </row>
    <row r="844" spans="6:16" ht="15.75" customHeight="1" x14ac:dyDescent="0.2">
      <c r="F844" s="100"/>
      <c r="N844" s="62"/>
      <c r="O844" s="62"/>
      <c r="P844" s="62"/>
    </row>
    <row r="845" spans="6:16" ht="15.75" customHeight="1" x14ac:dyDescent="0.2">
      <c r="F845" s="100"/>
      <c r="N845" s="62"/>
      <c r="O845" s="62"/>
      <c r="P845" s="62"/>
    </row>
    <row r="846" spans="6:16" ht="15.75" customHeight="1" x14ac:dyDescent="0.2">
      <c r="F846" s="100"/>
      <c r="N846" s="62"/>
      <c r="O846" s="62"/>
      <c r="P846" s="62"/>
    </row>
    <row r="847" spans="6:16" ht="15.75" customHeight="1" x14ac:dyDescent="0.2">
      <c r="F847" s="100"/>
      <c r="N847" s="62"/>
      <c r="O847" s="62"/>
      <c r="P847" s="62"/>
    </row>
    <row r="848" spans="6:16" ht="15.75" customHeight="1" x14ac:dyDescent="0.2">
      <c r="F848" s="100"/>
      <c r="N848" s="62"/>
      <c r="O848" s="62"/>
      <c r="P848" s="62"/>
    </row>
    <row r="849" spans="6:16" ht="15.75" customHeight="1" x14ac:dyDescent="0.2">
      <c r="F849" s="100"/>
      <c r="N849" s="62"/>
      <c r="O849" s="62"/>
      <c r="P849" s="62"/>
    </row>
    <row r="850" spans="6:16" ht="15.75" customHeight="1" x14ac:dyDescent="0.2">
      <c r="F850" s="100"/>
      <c r="N850" s="62"/>
      <c r="O850" s="62"/>
      <c r="P850" s="62"/>
    </row>
    <row r="851" spans="6:16" ht="15.75" customHeight="1" x14ac:dyDescent="0.2">
      <c r="F851" s="100"/>
      <c r="N851" s="62"/>
      <c r="O851" s="62"/>
      <c r="P851" s="62"/>
    </row>
    <row r="852" spans="6:16" ht="15.75" customHeight="1" x14ac:dyDescent="0.2">
      <c r="F852" s="100"/>
      <c r="N852" s="62"/>
      <c r="O852" s="62"/>
      <c r="P852" s="62"/>
    </row>
    <row r="853" spans="6:16" ht="15.75" customHeight="1" x14ac:dyDescent="0.2">
      <c r="F853" s="100"/>
      <c r="N853" s="62"/>
      <c r="O853" s="62"/>
      <c r="P853" s="62"/>
    </row>
    <row r="854" spans="6:16" ht="15.75" customHeight="1" x14ac:dyDescent="0.2">
      <c r="F854" s="100"/>
      <c r="N854" s="62"/>
      <c r="O854" s="62"/>
      <c r="P854" s="62"/>
    </row>
    <row r="855" spans="6:16" ht="15.75" customHeight="1" x14ac:dyDescent="0.2">
      <c r="F855" s="100"/>
      <c r="N855" s="62"/>
      <c r="O855" s="62"/>
      <c r="P855" s="62"/>
    </row>
    <row r="856" spans="6:16" ht="15.75" customHeight="1" x14ac:dyDescent="0.2">
      <c r="F856" s="100"/>
      <c r="N856" s="62"/>
      <c r="O856" s="62"/>
      <c r="P856" s="62"/>
    </row>
    <row r="857" spans="6:16" ht="15.75" customHeight="1" x14ac:dyDescent="0.2">
      <c r="F857" s="100"/>
      <c r="N857" s="62"/>
      <c r="O857" s="62"/>
      <c r="P857" s="62"/>
    </row>
    <row r="858" spans="6:16" ht="15.75" customHeight="1" x14ac:dyDescent="0.2">
      <c r="F858" s="100"/>
      <c r="N858" s="62"/>
      <c r="O858" s="62"/>
      <c r="P858" s="62"/>
    </row>
    <row r="859" spans="6:16" ht="15.75" customHeight="1" x14ac:dyDescent="0.2">
      <c r="F859" s="100"/>
      <c r="N859" s="62"/>
      <c r="O859" s="62"/>
      <c r="P859" s="62"/>
    </row>
    <row r="860" spans="6:16" ht="15.75" customHeight="1" x14ac:dyDescent="0.2">
      <c r="F860" s="100"/>
      <c r="N860" s="62"/>
      <c r="O860" s="62"/>
      <c r="P860" s="62"/>
    </row>
    <row r="861" spans="6:16" ht="15.75" customHeight="1" x14ac:dyDescent="0.2">
      <c r="F861" s="100"/>
      <c r="N861" s="62"/>
      <c r="O861" s="62"/>
      <c r="P861" s="62"/>
    </row>
    <row r="862" spans="6:16" ht="15.75" customHeight="1" x14ac:dyDescent="0.2">
      <c r="F862" s="100"/>
      <c r="N862" s="62"/>
      <c r="O862" s="62"/>
      <c r="P862" s="62"/>
    </row>
    <row r="863" spans="6:16" ht="15.75" customHeight="1" x14ac:dyDescent="0.2">
      <c r="F863" s="100"/>
      <c r="N863" s="62"/>
      <c r="O863" s="62"/>
      <c r="P863" s="62"/>
    </row>
    <row r="864" spans="6:16" ht="15.75" customHeight="1" x14ac:dyDescent="0.2">
      <c r="F864" s="100"/>
      <c r="N864" s="62"/>
      <c r="O864" s="62"/>
      <c r="P864" s="62"/>
    </row>
    <row r="865" spans="6:16" ht="15.75" customHeight="1" x14ac:dyDescent="0.2">
      <c r="F865" s="100"/>
      <c r="N865" s="62"/>
      <c r="O865" s="62"/>
      <c r="P865" s="62"/>
    </row>
    <row r="866" spans="6:16" ht="15.75" customHeight="1" x14ac:dyDescent="0.2">
      <c r="F866" s="100"/>
      <c r="N866" s="62"/>
      <c r="O866" s="62"/>
      <c r="P866" s="62"/>
    </row>
    <row r="867" spans="6:16" ht="15.75" customHeight="1" x14ac:dyDescent="0.2">
      <c r="F867" s="100"/>
      <c r="N867" s="62"/>
      <c r="O867" s="62"/>
      <c r="P867" s="62"/>
    </row>
    <row r="868" spans="6:16" ht="15.75" customHeight="1" x14ac:dyDescent="0.2">
      <c r="F868" s="100"/>
      <c r="N868" s="62"/>
      <c r="O868" s="62"/>
      <c r="P868" s="62"/>
    </row>
    <row r="869" spans="6:16" ht="15.75" customHeight="1" x14ac:dyDescent="0.2">
      <c r="F869" s="100"/>
      <c r="N869" s="62"/>
      <c r="O869" s="62"/>
      <c r="P869" s="62"/>
    </row>
    <row r="870" spans="6:16" ht="15.75" customHeight="1" x14ac:dyDescent="0.2">
      <c r="F870" s="100"/>
      <c r="N870" s="62"/>
      <c r="O870" s="62"/>
      <c r="P870" s="62"/>
    </row>
    <row r="871" spans="6:16" ht="15.75" customHeight="1" x14ac:dyDescent="0.2">
      <c r="F871" s="100"/>
      <c r="N871" s="62"/>
      <c r="O871" s="62"/>
      <c r="P871" s="62"/>
    </row>
    <row r="872" spans="6:16" ht="15.75" customHeight="1" x14ac:dyDescent="0.2">
      <c r="F872" s="100"/>
      <c r="N872" s="62"/>
      <c r="O872" s="62"/>
      <c r="P872" s="62"/>
    </row>
    <row r="873" spans="6:16" ht="15.75" customHeight="1" x14ac:dyDescent="0.2">
      <c r="F873" s="100"/>
      <c r="N873" s="62"/>
      <c r="O873" s="62"/>
      <c r="P873" s="62"/>
    </row>
    <row r="874" spans="6:16" ht="15.75" customHeight="1" x14ac:dyDescent="0.2">
      <c r="F874" s="100"/>
      <c r="N874" s="62"/>
      <c r="O874" s="62"/>
      <c r="P874" s="62"/>
    </row>
    <row r="875" spans="6:16" ht="15.75" customHeight="1" x14ac:dyDescent="0.2">
      <c r="F875" s="100"/>
      <c r="N875" s="62"/>
      <c r="O875" s="62"/>
      <c r="P875" s="62"/>
    </row>
    <row r="876" spans="6:16" ht="15.75" customHeight="1" x14ac:dyDescent="0.2">
      <c r="F876" s="100"/>
      <c r="N876" s="62"/>
      <c r="O876" s="62"/>
      <c r="P876" s="62"/>
    </row>
    <row r="877" spans="6:16" ht="15.75" customHeight="1" x14ac:dyDescent="0.2">
      <c r="F877" s="100"/>
      <c r="N877" s="62"/>
      <c r="O877" s="62"/>
      <c r="P877" s="62"/>
    </row>
    <row r="878" spans="6:16" ht="15.75" customHeight="1" x14ac:dyDescent="0.2">
      <c r="F878" s="100"/>
      <c r="N878" s="62"/>
      <c r="O878" s="62"/>
      <c r="P878" s="62"/>
    </row>
    <row r="879" spans="6:16" ht="15.75" customHeight="1" x14ac:dyDescent="0.2">
      <c r="F879" s="100"/>
      <c r="N879" s="62"/>
      <c r="O879" s="62"/>
      <c r="P879" s="62"/>
    </row>
    <row r="880" spans="6:16" ht="15.75" customHeight="1" x14ac:dyDescent="0.2">
      <c r="F880" s="100"/>
      <c r="N880" s="62"/>
      <c r="O880" s="62"/>
      <c r="P880" s="62"/>
    </row>
    <row r="881" spans="6:16" ht="15.75" customHeight="1" x14ac:dyDescent="0.2">
      <c r="F881" s="100"/>
      <c r="N881" s="62"/>
      <c r="O881" s="62"/>
      <c r="P881" s="62"/>
    </row>
    <row r="882" spans="6:16" ht="15.75" customHeight="1" x14ac:dyDescent="0.2">
      <c r="F882" s="100"/>
      <c r="N882" s="62"/>
      <c r="O882" s="62"/>
      <c r="P882" s="62"/>
    </row>
    <row r="883" spans="6:16" ht="15.75" customHeight="1" x14ac:dyDescent="0.2">
      <c r="F883" s="100"/>
      <c r="N883" s="62"/>
      <c r="O883" s="62"/>
      <c r="P883" s="62"/>
    </row>
    <row r="884" spans="6:16" ht="15.75" customHeight="1" x14ac:dyDescent="0.2">
      <c r="F884" s="100"/>
      <c r="N884" s="62"/>
      <c r="O884" s="62"/>
      <c r="P884" s="62"/>
    </row>
    <row r="885" spans="6:16" ht="15.75" customHeight="1" x14ac:dyDescent="0.2">
      <c r="F885" s="100"/>
      <c r="N885" s="62"/>
      <c r="O885" s="62"/>
      <c r="P885" s="62"/>
    </row>
    <row r="886" spans="6:16" ht="15.75" customHeight="1" x14ac:dyDescent="0.2">
      <c r="F886" s="100"/>
      <c r="N886" s="62"/>
      <c r="O886" s="62"/>
      <c r="P886" s="62"/>
    </row>
    <row r="887" spans="6:16" ht="15.75" customHeight="1" x14ac:dyDescent="0.2">
      <c r="F887" s="100"/>
      <c r="N887" s="62"/>
      <c r="O887" s="62"/>
      <c r="P887" s="62"/>
    </row>
    <row r="888" spans="6:16" ht="15.75" customHeight="1" x14ac:dyDescent="0.2">
      <c r="F888" s="100"/>
      <c r="N888" s="62"/>
      <c r="O888" s="62"/>
      <c r="P888" s="62"/>
    </row>
    <row r="889" spans="6:16" ht="15.75" customHeight="1" x14ac:dyDescent="0.2">
      <c r="F889" s="100"/>
      <c r="N889" s="62"/>
      <c r="O889" s="62"/>
      <c r="P889" s="62"/>
    </row>
    <row r="890" spans="6:16" ht="15.75" customHeight="1" x14ac:dyDescent="0.2">
      <c r="F890" s="100"/>
      <c r="N890" s="62"/>
      <c r="O890" s="62"/>
      <c r="P890" s="62"/>
    </row>
    <row r="891" spans="6:16" ht="15.75" customHeight="1" x14ac:dyDescent="0.2">
      <c r="F891" s="100"/>
      <c r="N891" s="62"/>
      <c r="O891" s="62"/>
      <c r="P891" s="62"/>
    </row>
    <row r="892" spans="6:16" ht="15.75" customHeight="1" x14ac:dyDescent="0.2">
      <c r="F892" s="100"/>
      <c r="N892" s="62"/>
      <c r="O892" s="62"/>
      <c r="P892" s="62"/>
    </row>
    <row r="893" spans="6:16" ht="15.75" customHeight="1" x14ac:dyDescent="0.2">
      <c r="F893" s="100"/>
      <c r="N893" s="62"/>
      <c r="O893" s="62"/>
      <c r="P893" s="62"/>
    </row>
    <row r="894" spans="6:16" ht="15.75" customHeight="1" x14ac:dyDescent="0.2">
      <c r="F894" s="100"/>
      <c r="N894" s="62"/>
      <c r="O894" s="62"/>
      <c r="P894" s="62"/>
    </row>
    <row r="895" spans="6:16" ht="15.75" customHeight="1" x14ac:dyDescent="0.2">
      <c r="F895" s="100"/>
      <c r="N895" s="62"/>
      <c r="O895" s="62"/>
      <c r="P895" s="62"/>
    </row>
    <row r="896" spans="6:16" ht="15.75" customHeight="1" x14ac:dyDescent="0.2">
      <c r="F896" s="100"/>
      <c r="N896" s="62"/>
      <c r="O896" s="62"/>
      <c r="P896" s="62"/>
    </row>
    <row r="897" spans="6:16" ht="15.75" customHeight="1" x14ac:dyDescent="0.2">
      <c r="F897" s="100"/>
      <c r="N897" s="62"/>
      <c r="O897" s="62"/>
      <c r="P897" s="62"/>
    </row>
    <row r="898" spans="6:16" ht="15.75" customHeight="1" x14ac:dyDescent="0.2">
      <c r="F898" s="100"/>
      <c r="N898" s="62"/>
      <c r="O898" s="62"/>
      <c r="P898" s="62"/>
    </row>
    <row r="899" spans="6:16" ht="15.75" customHeight="1" x14ac:dyDescent="0.2">
      <c r="F899" s="100"/>
      <c r="N899" s="62"/>
      <c r="O899" s="62"/>
      <c r="P899" s="62"/>
    </row>
    <row r="900" spans="6:16" ht="15.75" customHeight="1" x14ac:dyDescent="0.2">
      <c r="F900" s="100"/>
      <c r="N900" s="62"/>
      <c r="O900" s="62"/>
      <c r="P900" s="62"/>
    </row>
    <row r="901" spans="6:16" ht="15.75" customHeight="1" x14ac:dyDescent="0.2">
      <c r="F901" s="100"/>
      <c r="N901" s="62"/>
      <c r="O901" s="62"/>
      <c r="P901" s="62"/>
    </row>
    <row r="902" spans="6:16" ht="15.75" customHeight="1" x14ac:dyDescent="0.2">
      <c r="F902" s="100"/>
      <c r="N902" s="62"/>
      <c r="O902" s="62"/>
      <c r="P902" s="62"/>
    </row>
    <row r="903" spans="6:16" ht="15.75" customHeight="1" x14ac:dyDescent="0.2">
      <c r="F903" s="100"/>
      <c r="N903" s="62"/>
      <c r="O903" s="62"/>
      <c r="P903" s="62"/>
    </row>
    <row r="904" spans="6:16" ht="15.75" customHeight="1" x14ac:dyDescent="0.2">
      <c r="F904" s="100"/>
      <c r="N904" s="62"/>
      <c r="O904" s="62"/>
      <c r="P904" s="62"/>
    </row>
    <row r="905" spans="6:16" ht="15.75" customHeight="1" x14ac:dyDescent="0.2">
      <c r="F905" s="100"/>
      <c r="N905" s="62"/>
      <c r="O905" s="62"/>
      <c r="P905" s="62"/>
    </row>
    <row r="906" spans="6:16" ht="15.75" customHeight="1" x14ac:dyDescent="0.2">
      <c r="F906" s="100"/>
      <c r="N906" s="62"/>
      <c r="O906" s="62"/>
      <c r="P906" s="62"/>
    </row>
    <row r="907" spans="6:16" ht="15.75" customHeight="1" x14ac:dyDescent="0.2">
      <c r="F907" s="100"/>
      <c r="N907" s="62"/>
      <c r="O907" s="62"/>
      <c r="P907" s="62"/>
    </row>
    <row r="908" spans="6:16" ht="15.75" customHeight="1" x14ac:dyDescent="0.2">
      <c r="F908" s="100"/>
      <c r="N908" s="62"/>
      <c r="O908" s="62"/>
      <c r="P908" s="62"/>
    </row>
    <row r="909" spans="6:16" ht="15.75" customHeight="1" x14ac:dyDescent="0.2">
      <c r="F909" s="100"/>
      <c r="N909" s="62"/>
      <c r="O909" s="62"/>
      <c r="P909" s="62"/>
    </row>
    <row r="910" spans="6:16" ht="15.75" customHeight="1" x14ac:dyDescent="0.2">
      <c r="F910" s="100"/>
      <c r="N910" s="62"/>
      <c r="O910" s="62"/>
      <c r="P910" s="62"/>
    </row>
    <row r="911" spans="6:16" ht="15.75" customHeight="1" x14ac:dyDescent="0.2">
      <c r="F911" s="100"/>
      <c r="N911" s="62"/>
      <c r="O911" s="62"/>
      <c r="P911" s="62"/>
    </row>
    <row r="912" spans="6:16" ht="15.75" customHeight="1" x14ac:dyDescent="0.2">
      <c r="F912" s="100"/>
      <c r="N912" s="62"/>
      <c r="O912" s="62"/>
      <c r="P912" s="62"/>
    </row>
    <row r="913" spans="6:16" ht="15.75" customHeight="1" x14ac:dyDescent="0.2">
      <c r="F913" s="100"/>
      <c r="N913" s="62"/>
      <c r="O913" s="62"/>
      <c r="P913" s="62"/>
    </row>
    <row r="914" spans="6:16" ht="15.75" customHeight="1" x14ac:dyDescent="0.2">
      <c r="F914" s="100"/>
      <c r="N914" s="62"/>
      <c r="O914" s="62"/>
      <c r="P914" s="62"/>
    </row>
    <row r="915" spans="6:16" ht="15.75" customHeight="1" x14ac:dyDescent="0.2">
      <c r="F915" s="100"/>
      <c r="N915" s="62"/>
      <c r="O915" s="62"/>
      <c r="P915" s="62"/>
    </row>
    <row r="916" spans="6:16" ht="15.75" customHeight="1" x14ac:dyDescent="0.2">
      <c r="F916" s="100"/>
      <c r="N916" s="62"/>
      <c r="O916" s="62"/>
      <c r="P916" s="62"/>
    </row>
    <row r="917" spans="6:16" ht="15.75" customHeight="1" x14ac:dyDescent="0.2">
      <c r="F917" s="100"/>
      <c r="N917" s="62"/>
      <c r="O917" s="62"/>
      <c r="P917" s="62"/>
    </row>
    <row r="918" spans="6:16" ht="15.75" customHeight="1" x14ac:dyDescent="0.2">
      <c r="F918" s="100"/>
      <c r="N918" s="62"/>
      <c r="O918" s="62"/>
      <c r="P918" s="62"/>
    </row>
    <row r="919" spans="6:16" ht="15.75" customHeight="1" x14ac:dyDescent="0.2">
      <c r="F919" s="100"/>
      <c r="N919" s="62"/>
      <c r="O919" s="62"/>
      <c r="P919" s="62"/>
    </row>
    <row r="920" spans="6:16" ht="15.75" customHeight="1" x14ac:dyDescent="0.2">
      <c r="F920" s="100"/>
      <c r="N920" s="62"/>
      <c r="O920" s="62"/>
      <c r="P920" s="62"/>
    </row>
    <row r="921" spans="6:16" ht="15.75" customHeight="1" x14ac:dyDescent="0.2">
      <c r="F921" s="100"/>
      <c r="N921" s="62"/>
      <c r="O921" s="62"/>
      <c r="P921" s="62"/>
    </row>
    <row r="922" spans="6:16" ht="15.75" customHeight="1" x14ac:dyDescent="0.2">
      <c r="F922" s="100"/>
      <c r="N922" s="62"/>
      <c r="O922" s="62"/>
      <c r="P922" s="62"/>
    </row>
    <row r="923" spans="6:16" ht="15.75" customHeight="1" x14ac:dyDescent="0.2">
      <c r="F923" s="100"/>
      <c r="N923" s="62"/>
      <c r="O923" s="62"/>
      <c r="P923" s="62"/>
    </row>
    <row r="924" spans="6:16" ht="15.75" customHeight="1" x14ac:dyDescent="0.2">
      <c r="F924" s="100"/>
      <c r="N924" s="62"/>
      <c r="O924" s="62"/>
      <c r="P924" s="62"/>
    </row>
    <row r="925" spans="6:16" ht="15.75" customHeight="1" x14ac:dyDescent="0.2">
      <c r="F925" s="100"/>
      <c r="N925" s="62"/>
      <c r="O925" s="62"/>
      <c r="P925" s="62"/>
    </row>
    <row r="926" spans="6:16" ht="15.75" customHeight="1" x14ac:dyDescent="0.2">
      <c r="F926" s="100"/>
      <c r="N926" s="62"/>
      <c r="O926" s="62"/>
      <c r="P926" s="62"/>
    </row>
    <row r="927" spans="6:16" ht="15.75" customHeight="1" x14ac:dyDescent="0.2">
      <c r="F927" s="100"/>
      <c r="N927" s="62"/>
      <c r="O927" s="62"/>
      <c r="P927" s="62"/>
    </row>
    <row r="928" spans="6:16" ht="15.75" customHeight="1" x14ac:dyDescent="0.2">
      <c r="F928" s="100"/>
      <c r="N928" s="62"/>
      <c r="O928" s="62"/>
      <c r="P928" s="62"/>
    </row>
    <row r="929" spans="6:16" ht="15.75" customHeight="1" x14ac:dyDescent="0.2">
      <c r="F929" s="100"/>
      <c r="N929" s="62"/>
      <c r="O929" s="62"/>
      <c r="P929" s="62"/>
    </row>
    <row r="930" spans="6:16" ht="15.75" customHeight="1" x14ac:dyDescent="0.2">
      <c r="F930" s="100"/>
      <c r="N930" s="62"/>
      <c r="O930" s="62"/>
      <c r="P930" s="62"/>
    </row>
    <row r="931" spans="6:16" ht="15.75" customHeight="1" x14ac:dyDescent="0.2">
      <c r="F931" s="100"/>
      <c r="N931" s="62"/>
      <c r="O931" s="62"/>
      <c r="P931" s="62"/>
    </row>
    <row r="932" spans="6:16" ht="15.75" customHeight="1" x14ac:dyDescent="0.2">
      <c r="F932" s="100"/>
      <c r="N932" s="62"/>
      <c r="O932" s="62"/>
      <c r="P932" s="62"/>
    </row>
    <row r="933" spans="6:16" ht="15.75" customHeight="1" x14ac:dyDescent="0.2">
      <c r="F933" s="100"/>
      <c r="N933" s="62"/>
      <c r="O933" s="62"/>
      <c r="P933" s="62"/>
    </row>
    <row r="934" spans="6:16" ht="15.75" customHeight="1" x14ac:dyDescent="0.2">
      <c r="F934" s="100"/>
      <c r="N934" s="62"/>
      <c r="O934" s="62"/>
      <c r="P934" s="62"/>
    </row>
    <row r="935" spans="6:16" ht="15.75" customHeight="1" x14ac:dyDescent="0.2">
      <c r="F935" s="100"/>
      <c r="N935" s="62"/>
      <c r="O935" s="62"/>
      <c r="P935" s="62"/>
    </row>
    <row r="936" spans="6:16" ht="15.75" customHeight="1" x14ac:dyDescent="0.2">
      <c r="F936" s="100"/>
      <c r="N936" s="62"/>
      <c r="O936" s="62"/>
      <c r="P936" s="62"/>
    </row>
    <row r="937" spans="6:16" ht="15.75" customHeight="1" x14ac:dyDescent="0.2">
      <c r="F937" s="100"/>
      <c r="N937" s="62"/>
      <c r="O937" s="62"/>
      <c r="P937" s="62"/>
    </row>
    <row r="938" spans="6:16" ht="15.75" customHeight="1" x14ac:dyDescent="0.2">
      <c r="F938" s="100"/>
      <c r="N938" s="62"/>
      <c r="O938" s="62"/>
      <c r="P938" s="62"/>
    </row>
    <row r="939" spans="6:16" ht="15.75" customHeight="1" x14ac:dyDescent="0.2">
      <c r="F939" s="100"/>
      <c r="N939" s="62"/>
      <c r="O939" s="62"/>
      <c r="P939" s="62"/>
    </row>
    <row r="940" spans="6:16" ht="15.75" customHeight="1" x14ac:dyDescent="0.2">
      <c r="F940" s="100"/>
      <c r="N940" s="62"/>
      <c r="O940" s="62"/>
      <c r="P940" s="62"/>
    </row>
    <row r="941" spans="6:16" ht="15.75" customHeight="1" x14ac:dyDescent="0.2">
      <c r="F941" s="100"/>
      <c r="N941" s="62"/>
      <c r="O941" s="62"/>
      <c r="P941" s="62"/>
    </row>
    <row r="942" spans="6:16" ht="15.75" customHeight="1" x14ac:dyDescent="0.2">
      <c r="F942" s="100"/>
      <c r="N942" s="62"/>
      <c r="O942" s="62"/>
      <c r="P942" s="62"/>
    </row>
    <row r="943" spans="6:16" ht="15.75" customHeight="1" x14ac:dyDescent="0.2">
      <c r="F943" s="100"/>
      <c r="N943" s="62"/>
      <c r="O943" s="62"/>
      <c r="P943" s="62"/>
    </row>
    <row r="944" spans="6:16" ht="15.75" customHeight="1" x14ac:dyDescent="0.2">
      <c r="F944" s="100"/>
      <c r="N944" s="62"/>
      <c r="O944" s="62"/>
      <c r="P944" s="62"/>
    </row>
    <row r="945" spans="6:16" ht="15.75" customHeight="1" x14ac:dyDescent="0.2">
      <c r="F945" s="100"/>
      <c r="N945" s="62"/>
      <c r="O945" s="62"/>
      <c r="P945" s="62"/>
    </row>
    <row r="946" spans="6:16" ht="15.75" customHeight="1" x14ac:dyDescent="0.2">
      <c r="F946" s="100"/>
      <c r="N946" s="62"/>
      <c r="O946" s="62"/>
      <c r="P946" s="62"/>
    </row>
    <row r="947" spans="6:16" ht="15.75" customHeight="1" x14ac:dyDescent="0.2">
      <c r="F947" s="100"/>
      <c r="N947" s="62"/>
      <c r="O947" s="62"/>
      <c r="P947" s="62"/>
    </row>
    <row r="948" spans="6:16" ht="15.75" customHeight="1" x14ac:dyDescent="0.2">
      <c r="F948" s="100"/>
      <c r="N948" s="62"/>
      <c r="O948" s="62"/>
      <c r="P948" s="62"/>
    </row>
    <row r="949" spans="6:16" ht="15.75" customHeight="1" x14ac:dyDescent="0.2">
      <c r="F949" s="100"/>
      <c r="N949" s="62"/>
      <c r="O949" s="62"/>
      <c r="P949" s="62"/>
    </row>
    <row r="950" spans="6:16" ht="15.75" customHeight="1" x14ac:dyDescent="0.2">
      <c r="F950" s="100"/>
      <c r="N950" s="62"/>
      <c r="O950" s="62"/>
      <c r="P950" s="62"/>
    </row>
    <row r="951" spans="6:16" ht="15.75" customHeight="1" x14ac:dyDescent="0.2">
      <c r="F951" s="100"/>
      <c r="N951" s="62"/>
      <c r="O951" s="62"/>
      <c r="P951" s="62"/>
    </row>
    <row r="952" spans="6:16" ht="15.75" customHeight="1" x14ac:dyDescent="0.2">
      <c r="F952" s="100"/>
      <c r="N952" s="62"/>
      <c r="O952" s="62"/>
      <c r="P952" s="62"/>
    </row>
    <row r="953" spans="6:16" ht="15.75" customHeight="1" x14ac:dyDescent="0.2">
      <c r="F953" s="100"/>
      <c r="N953" s="62"/>
      <c r="O953" s="62"/>
      <c r="P953" s="62"/>
    </row>
    <row r="954" spans="6:16" ht="15.75" customHeight="1" x14ac:dyDescent="0.2">
      <c r="F954" s="100"/>
      <c r="N954" s="62"/>
      <c r="O954" s="62"/>
      <c r="P954" s="62"/>
    </row>
    <row r="955" spans="6:16" ht="15.75" customHeight="1" x14ac:dyDescent="0.2">
      <c r="F955" s="100"/>
      <c r="N955" s="62"/>
      <c r="O955" s="62"/>
      <c r="P955" s="62"/>
    </row>
    <row r="956" spans="6:16" ht="15.75" customHeight="1" x14ac:dyDescent="0.2">
      <c r="F956" s="100"/>
      <c r="N956" s="62"/>
      <c r="O956" s="62"/>
      <c r="P956" s="62"/>
    </row>
    <row r="957" spans="6:16" ht="15.75" customHeight="1" x14ac:dyDescent="0.2">
      <c r="F957" s="100"/>
      <c r="N957" s="62"/>
      <c r="O957" s="62"/>
      <c r="P957" s="62"/>
    </row>
    <row r="958" spans="6:16" ht="15.75" customHeight="1" x14ac:dyDescent="0.2">
      <c r="F958" s="100"/>
      <c r="N958" s="62"/>
      <c r="O958" s="62"/>
      <c r="P958" s="62"/>
    </row>
    <row r="959" spans="6:16" ht="15.75" customHeight="1" x14ac:dyDescent="0.2">
      <c r="F959" s="100"/>
      <c r="N959" s="62"/>
      <c r="O959" s="62"/>
      <c r="P959" s="62"/>
    </row>
    <row r="960" spans="6:16" ht="15.75" customHeight="1" x14ac:dyDescent="0.2">
      <c r="F960" s="100"/>
      <c r="N960" s="62"/>
      <c r="O960" s="62"/>
      <c r="P960" s="62"/>
    </row>
    <row r="961" spans="6:16" ht="15.75" customHeight="1" x14ac:dyDescent="0.2">
      <c r="F961" s="100"/>
      <c r="N961" s="62"/>
      <c r="O961" s="62"/>
      <c r="P961" s="62"/>
    </row>
    <row r="962" spans="6:16" ht="15.75" customHeight="1" x14ac:dyDescent="0.2">
      <c r="F962" s="100"/>
      <c r="N962" s="62"/>
      <c r="O962" s="62"/>
      <c r="P962" s="62"/>
    </row>
    <row r="963" spans="6:16" ht="15.75" customHeight="1" x14ac:dyDescent="0.2">
      <c r="F963" s="100"/>
      <c r="N963" s="62"/>
      <c r="O963" s="62"/>
      <c r="P963" s="62"/>
    </row>
    <row r="964" spans="6:16" ht="15.75" customHeight="1" x14ac:dyDescent="0.2">
      <c r="F964" s="100"/>
      <c r="N964" s="62"/>
      <c r="O964" s="62"/>
      <c r="P964" s="62"/>
    </row>
    <row r="965" spans="6:16" ht="15.75" customHeight="1" x14ac:dyDescent="0.2">
      <c r="F965" s="100"/>
      <c r="N965" s="62"/>
      <c r="O965" s="62"/>
      <c r="P965" s="62"/>
    </row>
    <row r="966" spans="6:16" ht="15.75" customHeight="1" x14ac:dyDescent="0.2">
      <c r="F966" s="100"/>
      <c r="N966" s="62"/>
      <c r="O966" s="62"/>
      <c r="P966" s="62"/>
    </row>
    <row r="967" spans="6:16" ht="15.75" customHeight="1" x14ac:dyDescent="0.2">
      <c r="F967" s="100"/>
      <c r="N967" s="62"/>
      <c r="O967" s="62"/>
      <c r="P967" s="62"/>
    </row>
    <row r="968" spans="6:16" ht="15.75" customHeight="1" x14ac:dyDescent="0.2">
      <c r="F968" s="100"/>
      <c r="N968" s="62"/>
      <c r="O968" s="62"/>
      <c r="P968" s="62"/>
    </row>
    <row r="969" spans="6:16" ht="15.75" customHeight="1" x14ac:dyDescent="0.2">
      <c r="F969" s="100"/>
      <c r="N969" s="62"/>
      <c r="O969" s="62"/>
      <c r="P969" s="62"/>
    </row>
    <row r="970" spans="6:16" ht="15.75" customHeight="1" x14ac:dyDescent="0.2">
      <c r="F970" s="100"/>
      <c r="N970" s="62"/>
      <c r="O970" s="62"/>
      <c r="P970" s="62"/>
    </row>
    <row r="971" spans="6:16" ht="15.75" customHeight="1" x14ac:dyDescent="0.2">
      <c r="F971" s="100"/>
      <c r="N971" s="62"/>
      <c r="O971" s="62"/>
      <c r="P971" s="62"/>
    </row>
    <row r="972" spans="6:16" ht="15.75" customHeight="1" x14ac:dyDescent="0.2">
      <c r="F972" s="100"/>
      <c r="N972" s="62"/>
      <c r="O972" s="62"/>
      <c r="P972" s="62"/>
    </row>
    <row r="973" spans="6:16" ht="15.75" customHeight="1" x14ac:dyDescent="0.2">
      <c r="F973" s="100"/>
      <c r="N973" s="62"/>
      <c r="O973" s="62"/>
      <c r="P973" s="62"/>
    </row>
    <row r="974" spans="6:16" ht="15.75" customHeight="1" x14ac:dyDescent="0.2">
      <c r="F974" s="100"/>
      <c r="N974" s="62"/>
      <c r="O974" s="62"/>
      <c r="P974" s="62"/>
    </row>
    <row r="975" spans="6:16" ht="15.75" customHeight="1" x14ac:dyDescent="0.2">
      <c r="F975" s="100"/>
      <c r="N975" s="62"/>
      <c r="O975" s="62"/>
      <c r="P975" s="62"/>
    </row>
    <row r="976" spans="6:16" ht="15.75" customHeight="1" x14ac:dyDescent="0.2">
      <c r="F976" s="100"/>
      <c r="N976" s="62"/>
      <c r="O976" s="62"/>
      <c r="P976" s="62"/>
    </row>
    <row r="977" spans="6:16" ht="15.75" customHeight="1" x14ac:dyDescent="0.2">
      <c r="F977" s="100"/>
      <c r="N977" s="62"/>
      <c r="O977" s="62"/>
      <c r="P977" s="62"/>
    </row>
    <row r="978" spans="6:16" ht="15.75" customHeight="1" x14ac:dyDescent="0.2">
      <c r="F978" s="100"/>
      <c r="N978" s="62"/>
      <c r="O978" s="62"/>
      <c r="P978" s="62"/>
    </row>
    <row r="979" spans="6:16" ht="15.75" customHeight="1" x14ac:dyDescent="0.2">
      <c r="F979" s="100"/>
      <c r="N979" s="62"/>
      <c r="O979" s="62"/>
      <c r="P979" s="62"/>
    </row>
    <row r="980" spans="6:16" ht="15.75" customHeight="1" x14ac:dyDescent="0.2">
      <c r="F980" s="100"/>
      <c r="N980" s="62"/>
      <c r="O980" s="62"/>
      <c r="P980" s="62"/>
    </row>
    <row r="981" spans="6:16" ht="15.75" customHeight="1" x14ac:dyDescent="0.2">
      <c r="F981" s="100"/>
      <c r="N981" s="62"/>
      <c r="O981" s="62"/>
      <c r="P981" s="62"/>
    </row>
    <row r="982" spans="6:16" ht="15.75" customHeight="1" x14ac:dyDescent="0.2">
      <c r="F982" s="100"/>
      <c r="N982" s="62"/>
      <c r="O982" s="62"/>
      <c r="P982" s="62"/>
    </row>
    <row r="983" spans="6:16" ht="15.75" customHeight="1" x14ac:dyDescent="0.2">
      <c r="F983" s="100"/>
      <c r="N983" s="62"/>
      <c r="O983" s="62"/>
      <c r="P983" s="62"/>
    </row>
    <row r="984" spans="6:16" ht="15.75" customHeight="1" x14ac:dyDescent="0.2">
      <c r="F984" s="100"/>
      <c r="N984" s="62"/>
      <c r="O984" s="62"/>
      <c r="P984" s="62"/>
    </row>
    <row r="985" spans="6:16" ht="15.75" customHeight="1" x14ac:dyDescent="0.2">
      <c r="F985" s="100"/>
      <c r="N985" s="62"/>
      <c r="O985" s="62"/>
      <c r="P985" s="62"/>
    </row>
    <row r="986" spans="6:16" ht="15.75" customHeight="1" x14ac:dyDescent="0.2">
      <c r="F986" s="100"/>
      <c r="N986" s="62"/>
      <c r="O986" s="62"/>
      <c r="P986" s="62"/>
    </row>
    <row r="987" spans="6:16" ht="15.75" customHeight="1" x14ac:dyDescent="0.2">
      <c r="F987" s="100"/>
      <c r="N987" s="62"/>
      <c r="O987" s="62"/>
      <c r="P987" s="62"/>
    </row>
    <row r="988" spans="6:16" ht="15.75" customHeight="1" x14ac:dyDescent="0.2">
      <c r="F988" s="100"/>
      <c r="N988" s="62"/>
      <c r="O988" s="62"/>
      <c r="P988" s="62"/>
    </row>
    <row r="989" spans="6:16" ht="15.75" customHeight="1" x14ac:dyDescent="0.2">
      <c r="F989" s="100"/>
      <c r="N989" s="62"/>
      <c r="O989" s="62"/>
      <c r="P989" s="62"/>
    </row>
    <row r="990" spans="6:16" ht="15.75" customHeight="1" x14ac:dyDescent="0.2">
      <c r="F990" s="100"/>
      <c r="N990" s="62"/>
      <c r="O990" s="62"/>
      <c r="P990" s="62"/>
    </row>
    <row r="991" spans="6:16" ht="15.75" customHeight="1" x14ac:dyDescent="0.2">
      <c r="F991" s="100"/>
      <c r="N991" s="62"/>
      <c r="O991" s="62"/>
      <c r="P991" s="62"/>
    </row>
    <row r="992" spans="6:16" ht="15.75" customHeight="1" x14ac:dyDescent="0.2">
      <c r="F992" s="100"/>
      <c r="N992" s="62"/>
      <c r="O992" s="62"/>
      <c r="P992" s="62"/>
    </row>
    <row r="993" spans="6:16" ht="15.75" customHeight="1" x14ac:dyDescent="0.2">
      <c r="F993" s="100"/>
      <c r="N993" s="62"/>
      <c r="O993" s="62"/>
      <c r="P993" s="62"/>
    </row>
    <row r="994" spans="6:16" ht="15.75" customHeight="1" x14ac:dyDescent="0.2">
      <c r="F994" s="100"/>
      <c r="N994" s="62"/>
      <c r="O994" s="62"/>
      <c r="P994" s="62"/>
    </row>
    <row r="995" spans="6:16" ht="15.75" customHeight="1" x14ac:dyDescent="0.2">
      <c r="F995" s="100"/>
      <c r="N995" s="62"/>
      <c r="O995" s="62"/>
      <c r="P995" s="62"/>
    </row>
    <row r="996" spans="6:16" ht="15.75" customHeight="1" x14ac:dyDescent="0.2">
      <c r="F996" s="100"/>
      <c r="N996" s="62"/>
      <c r="O996" s="62"/>
      <c r="P996" s="62"/>
    </row>
    <row r="997" spans="6:16" ht="15.75" customHeight="1" x14ac:dyDescent="0.2">
      <c r="F997" s="100"/>
      <c r="N997" s="62"/>
      <c r="O997" s="62"/>
      <c r="P997" s="62"/>
    </row>
    <row r="998" spans="6:16" ht="15.75" customHeight="1" x14ac:dyDescent="0.2">
      <c r="F998" s="100"/>
      <c r="N998" s="62"/>
      <c r="O998" s="62"/>
      <c r="P998" s="62"/>
    </row>
    <row r="999" spans="6:16" ht="15.75" customHeight="1" x14ac:dyDescent="0.2">
      <c r="F999" s="100"/>
      <c r="N999" s="62"/>
      <c r="O999" s="62"/>
      <c r="P999" s="62"/>
    </row>
    <row r="1000" spans="6:16" ht="15.75" customHeight="1" x14ac:dyDescent="0.2">
      <c r="F1000" s="100"/>
      <c r="N1000" s="62"/>
      <c r="O1000" s="62"/>
      <c r="P1000" s="62"/>
    </row>
    <row r="1001" spans="6:16" ht="15.75" customHeight="1" x14ac:dyDescent="0.2">
      <c r="F1001" s="100"/>
      <c r="N1001" s="62"/>
      <c r="O1001" s="62"/>
      <c r="P1001" s="62"/>
    </row>
    <row r="1002" spans="6:16" ht="15.75" customHeight="1" x14ac:dyDescent="0.2">
      <c r="F1002" s="100"/>
      <c r="N1002" s="62"/>
      <c r="O1002" s="62"/>
      <c r="P1002" s="62"/>
    </row>
    <row r="1003" spans="6:16" ht="15.75" customHeight="1" x14ac:dyDescent="0.2">
      <c r="F1003" s="100"/>
      <c r="N1003" s="62"/>
      <c r="O1003" s="62"/>
      <c r="P1003" s="62"/>
    </row>
  </sheetData>
  <mergeCells count="18">
    <mergeCell ref="B7:B23"/>
    <mergeCell ref="B24:B35"/>
    <mergeCell ref="B36:B49"/>
    <mergeCell ref="B50:B53"/>
    <mergeCell ref="B56:B60"/>
    <mergeCell ref="B61:B66"/>
    <mergeCell ref="B67:B69"/>
    <mergeCell ref="B70:B74"/>
    <mergeCell ref="B75:B80"/>
    <mergeCell ref="B81:B85"/>
    <mergeCell ref="B54:B55"/>
    <mergeCell ref="B86:B90"/>
    <mergeCell ref="K2:K5"/>
    <mergeCell ref="L2:L5"/>
    <mergeCell ref="M2:M5"/>
    <mergeCell ref="C5:C6"/>
    <mergeCell ref="D5:D6"/>
    <mergeCell ref="E5:E6"/>
  </mergeCells>
  <conditionalFormatting sqref="C56:C89 C7:C5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56:D89 D7:D54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56:E89 E7:E54">
    <cfRule type="colorScale" priority="5">
      <colorScale>
        <cfvo type="min"/>
        <cfvo type="max"/>
        <color rgb="FFFFFFFF"/>
        <color rgb="FFE67C73"/>
      </colorScale>
    </cfRule>
  </conditionalFormatting>
  <conditionalFormatting sqref="K7:M54 K56:M90">
    <cfRule type="notContainsBlanks" dxfId="3" priority="6">
      <formula>LEN(TRIM(K7))&gt;0</formula>
    </cfRule>
  </conditionalFormatting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41B47"/>
    <outlinePr summaryBelow="0" summaryRight="0"/>
  </sheetPr>
  <dimension ref="A1:AD1000"/>
  <sheetViews>
    <sheetView showGridLines="0" topLeftCell="A30" workbookViewId="0">
      <selection activeCell="Q11" sqref="Q11"/>
    </sheetView>
  </sheetViews>
  <sheetFormatPr defaultColWidth="12.5703125" defaultRowHeight="15" customHeight="1" x14ac:dyDescent="0.2"/>
  <cols>
    <col min="1" max="1" width="3.28515625" customWidth="1"/>
    <col min="2" max="2" width="12.28515625" customWidth="1"/>
    <col min="3" max="5" width="2.7109375" customWidth="1"/>
    <col min="6" max="6" width="21.85546875" customWidth="1"/>
    <col min="7" max="7" width="6.5703125" customWidth="1"/>
    <col min="8" max="8" width="11.140625" customWidth="1"/>
    <col min="9" max="9" width="8.42578125" customWidth="1"/>
    <col min="10" max="10" width="6.28515625" customWidth="1"/>
    <col min="11" max="13" width="5.42578125" customWidth="1"/>
    <col min="14" max="14" width="19.85546875" customWidth="1"/>
    <col min="15" max="15" width="22.5703125" customWidth="1"/>
    <col min="16" max="16" width="22.140625" customWidth="1"/>
  </cols>
  <sheetData>
    <row r="1" spans="1:30" ht="15.75" customHeight="1" x14ac:dyDescent="0.2">
      <c r="A1" s="1"/>
      <c r="B1" s="1"/>
      <c r="C1" s="2"/>
      <c r="D1" s="2"/>
      <c r="E1" s="2"/>
      <c r="F1" s="1"/>
      <c r="G1" s="2"/>
      <c r="H1" s="2"/>
      <c r="I1" s="2"/>
      <c r="J1" s="2"/>
      <c r="K1" s="2"/>
      <c r="L1" s="2"/>
      <c r="M1" s="2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2">
      <c r="A2" s="1"/>
      <c r="B2" s="101"/>
      <c r="C2" s="102"/>
      <c r="D2" s="102"/>
      <c r="E2" s="102"/>
      <c r="F2" s="101"/>
      <c r="G2" s="102"/>
      <c r="H2" s="102"/>
      <c r="I2" s="102"/>
      <c r="J2" s="102"/>
      <c r="K2" s="208"/>
      <c r="L2" s="208"/>
      <c r="M2" s="208"/>
      <c r="N2" s="103"/>
      <c r="O2" s="104"/>
      <c r="P2" s="10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5">
      <c r="A3" s="1"/>
      <c r="B3" s="105" t="s">
        <v>150</v>
      </c>
      <c r="C3" s="106"/>
      <c r="D3" s="106"/>
      <c r="E3" s="106"/>
      <c r="F3" s="105"/>
      <c r="G3" s="106"/>
      <c r="H3" s="106"/>
      <c r="I3" s="107"/>
      <c r="J3" s="107"/>
      <c r="K3" s="209"/>
      <c r="L3" s="209"/>
      <c r="M3" s="209"/>
      <c r="N3" s="108"/>
      <c r="O3" s="104"/>
      <c r="P3" s="10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2">
      <c r="A4" s="1"/>
      <c r="B4" s="109"/>
      <c r="C4" s="110"/>
      <c r="D4" s="110"/>
      <c r="E4" s="111"/>
      <c r="F4" s="109"/>
      <c r="G4" s="111"/>
      <c r="H4" s="111"/>
      <c r="I4" s="111"/>
      <c r="J4" s="111"/>
      <c r="K4" s="209"/>
      <c r="L4" s="209"/>
      <c r="M4" s="209"/>
      <c r="N4" s="112"/>
      <c r="O4" s="104"/>
      <c r="P4" s="10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 customHeight="1" x14ac:dyDescent="0.2">
      <c r="A5" s="1"/>
      <c r="B5" s="109"/>
      <c r="C5" s="211" t="s">
        <v>1</v>
      </c>
      <c r="D5" s="211" t="s">
        <v>2</v>
      </c>
      <c r="E5" s="211" t="s">
        <v>3</v>
      </c>
      <c r="F5" s="109"/>
      <c r="G5" s="111"/>
      <c r="H5" s="111"/>
      <c r="I5" s="111"/>
      <c r="J5" s="111"/>
      <c r="K5" s="210"/>
      <c r="L5" s="210"/>
      <c r="M5" s="210"/>
      <c r="N5" s="112"/>
      <c r="O5" s="104"/>
      <c r="P5" s="10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2">
      <c r="A6" s="1"/>
      <c r="B6" s="113" t="s">
        <v>4</v>
      </c>
      <c r="C6" s="210"/>
      <c r="D6" s="210"/>
      <c r="E6" s="210"/>
      <c r="F6" s="114" t="s">
        <v>5</v>
      </c>
      <c r="G6" s="115" t="s">
        <v>6</v>
      </c>
      <c r="H6" s="116" t="s">
        <v>7</v>
      </c>
      <c r="I6" s="116" t="s">
        <v>8</v>
      </c>
      <c r="J6" s="116" t="s">
        <v>9</v>
      </c>
      <c r="K6" s="19" t="s">
        <v>368</v>
      </c>
      <c r="L6" s="19" t="s">
        <v>369</v>
      </c>
      <c r="M6" s="19" t="s">
        <v>370</v>
      </c>
      <c r="N6" s="117" t="s">
        <v>10</v>
      </c>
      <c r="O6" s="21" t="s">
        <v>11</v>
      </c>
      <c r="P6" s="22" t="s">
        <v>12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2">
      <c r="A7" s="1"/>
      <c r="B7" s="212" t="s">
        <v>151</v>
      </c>
      <c r="C7" s="118">
        <v>10</v>
      </c>
      <c r="D7" s="118">
        <v>11</v>
      </c>
      <c r="E7" s="119">
        <v>5</v>
      </c>
      <c r="F7" s="25" t="s">
        <v>416</v>
      </c>
      <c r="G7" s="24">
        <v>129</v>
      </c>
      <c r="H7" s="24">
        <v>50</v>
      </c>
      <c r="I7" s="24">
        <v>35</v>
      </c>
      <c r="J7" s="82">
        <f t="shared" ref="J7:J42" si="0">IF(OR(I7="",I7=0),0,I7/H7)</f>
        <v>0.7</v>
      </c>
      <c r="K7" s="95">
        <v>46140</v>
      </c>
      <c r="L7" s="95">
        <v>46149</v>
      </c>
      <c r="M7" s="95">
        <v>46165</v>
      </c>
      <c r="N7" s="120" t="s">
        <v>611</v>
      </c>
      <c r="O7" s="121" t="str">
        <f t="shared" ref="O7:O42" si="1">IF(OR(K7="",L7="",M7=""),"⬜ Aguardando 3º contato",IF(J7=0,"⬜ Sem acertos registrados",IF(J7&gt;0.9,"✅ Rever em "&amp;TEXT(M7+60,"dd/mm/aaaa"),IF(J7&gt;0.8001,"🔵 Rever em "&amp;TEXT(M7+45,"dd/mm/aaaa"),IF(J7&gt;0.7001,"🟡 Rever em "&amp;TEXT(M7+30,"dd/mm/aaaa"),"🔴 Rever em "&amp;TEXT(M7+7,"dd/mm/aaaa"))))))</f>
        <v>🔴 Rever em 30/05/2026</v>
      </c>
      <c r="P7" s="122" t="str">
        <f t="shared" ref="P7:P42" si="2">IF(J7=0,"",IF(AND(J7&lt;0.7,MAX(C7,D7)&gt;=4),"🚨 CRÍTICO: Alta incidência + baixo aproveitamento",IF(J7&lt;0.7,"⚠️ Baixo aproveitamento - revisar urgente",IF(AND(J7&lt;0.8,MAX(C7,D7)&gt;=4),"📌 Atenção: Alta incidência",""))))</f>
        <v>📌 Atenção: Alta incidência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2">
      <c r="A8" s="1"/>
      <c r="B8" s="213"/>
      <c r="C8" s="23">
        <v>7</v>
      </c>
      <c r="D8" s="23">
        <v>2</v>
      </c>
      <c r="E8" s="24">
        <v>5</v>
      </c>
      <c r="F8" s="25" t="s">
        <v>417</v>
      </c>
      <c r="G8" s="24">
        <v>35</v>
      </c>
      <c r="H8" s="24">
        <f>37+15</f>
        <v>52</v>
      </c>
      <c r="I8" s="24">
        <f>31+12</f>
        <v>43</v>
      </c>
      <c r="J8" s="82">
        <f t="shared" si="0"/>
        <v>0.82692307692307687</v>
      </c>
      <c r="K8" s="95">
        <v>46099</v>
      </c>
      <c r="L8" s="95">
        <v>46105</v>
      </c>
      <c r="M8" s="95">
        <v>46195</v>
      </c>
      <c r="N8" s="120" t="s">
        <v>591</v>
      </c>
      <c r="O8" s="30" t="str">
        <f t="shared" si="1"/>
        <v>🔵 Rever em 06/08/2026</v>
      </c>
      <c r="P8" s="123" t="str">
        <f t="shared" si="2"/>
        <v/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2">
      <c r="A9" s="1"/>
      <c r="B9" s="213"/>
      <c r="C9" s="23">
        <v>6</v>
      </c>
      <c r="D9" s="23">
        <v>4</v>
      </c>
      <c r="E9" s="24">
        <v>5</v>
      </c>
      <c r="F9" s="25" t="s">
        <v>418</v>
      </c>
      <c r="G9" s="24">
        <v>76</v>
      </c>
      <c r="H9" s="24">
        <v>15</v>
      </c>
      <c r="I9" s="24">
        <f>9</f>
        <v>9</v>
      </c>
      <c r="J9" s="82">
        <f t="shared" si="0"/>
        <v>0.6</v>
      </c>
      <c r="K9" s="83">
        <v>46168</v>
      </c>
      <c r="L9" s="83"/>
      <c r="M9" s="83"/>
      <c r="N9" s="120" t="s">
        <v>612</v>
      </c>
      <c r="O9" s="30" t="str">
        <f t="shared" si="1"/>
        <v>⬜ Aguardando 3º contato</v>
      </c>
      <c r="P9" s="123" t="str">
        <f t="shared" si="2"/>
        <v>🚨 CRÍTICO: Alta incidência + baixo aproveitamento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2">
      <c r="A10" s="1"/>
      <c r="B10" s="213"/>
      <c r="C10" s="23">
        <v>9</v>
      </c>
      <c r="D10" s="23">
        <v>2</v>
      </c>
      <c r="E10" s="24">
        <v>5</v>
      </c>
      <c r="F10" s="25" t="s">
        <v>419</v>
      </c>
      <c r="G10" s="24">
        <v>98</v>
      </c>
      <c r="H10" s="24">
        <v>50</v>
      </c>
      <c r="I10" s="24"/>
      <c r="J10" s="82">
        <f t="shared" si="0"/>
        <v>0</v>
      </c>
      <c r="K10" s="95"/>
      <c r="L10" s="95"/>
      <c r="M10" s="95"/>
      <c r="N10" s="120" t="s">
        <v>240</v>
      </c>
      <c r="O10" s="30" t="str">
        <f t="shared" si="1"/>
        <v>⬜ Aguardando 3º contato</v>
      </c>
      <c r="P10" s="123" t="str">
        <f t="shared" si="2"/>
        <v/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2">
      <c r="A11" s="1"/>
      <c r="B11" s="213"/>
      <c r="C11" s="23">
        <v>4</v>
      </c>
      <c r="D11" s="23">
        <v>2</v>
      </c>
      <c r="E11" s="24">
        <v>5</v>
      </c>
      <c r="F11" s="25" t="s">
        <v>420</v>
      </c>
      <c r="G11" s="24">
        <v>122</v>
      </c>
      <c r="H11" s="24">
        <v>50</v>
      </c>
      <c r="I11" s="24"/>
      <c r="J11" s="82">
        <f t="shared" si="0"/>
        <v>0</v>
      </c>
      <c r="K11" s="95"/>
      <c r="L11" s="95"/>
      <c r="M11" s="95"/>
      <c r="N11" s="120" t="s">
        <v>242</v>
      </c>
      <c r="O11" s="30" t="str">
        <f t="shared" si="1"/>
        <v>⬜ Aguardando 3º contato</v>
      </c>
      <c r="P11" s="123" t="str">
        <f t="shared" si="2"/>
        <v/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2">
      <c r="A12" s="1"/>
      <c r="B12" s="213"/>
      <c r="C12" s="23">
        <v>8</v>
      </c>
      <c r="D12" s="23">
        <v>6</v>
      </c>
      <c r="E12" s="24">
        <v>5</v>
      </c>
      <c r="F12" s="25" t="s">
        <v>421</v>
      </c>
      <c r="G12" s="24">
        <v>135</v>
      </c>
      <c r="H12" s="24">
        <v>50</v>
      </c>
      <c r="I12" s="24"/>
      <c r="J12" s="82">
        <f t="shared" si="0"/>
        <v>0</v>
      </c>
      <c r="K12" s="95"/>
      <c r="L12" s="95"/>
      <c r="M12" s="95"/>
      <c r="N12" s="120" t="s">
        <v>613</v>
      </c>
      <c r="O12" s="30" t="str">
        <f t="shared" si="1"/>
        <v>⬜ Aguardando 3º contato</v>
      </c>
      <c r="P12" s="123" t="str">
        <f t="shared" si="2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2">
      <c r="A13" s="1"/>
      <c r="B13" s="213"/>
      <c r="C13" s="23">
        <v>5</v>
      </c>
      <c r="D13" s="23">
        <v>3</v>
      </c>
      <c r="E13" s="24">
        <v>5</v>
      </c>
      <c r="F13" s="25" t="s">
        <v>422</v>
      </c>
      <c r="G13" s="24">
        <v>30</v>
      </c>
      <c r="H13" s="24">
        <f>47+14</f>
        <v>61</v>
      </c>
      <c r="I13" s="24">
        <f>29+9</f>
        <v>38</v>
      </c>
      <c r="J13" s="82">
        <f t="shared" si="0"/>
        <v>0.62295081967213117</v>
      </c>
      <c r="K13" s="95">
        <v>46087</v>
      </c>
      <c r="L13" s="95">
        <v>46129</v>
      </c>
      <c r="M13" s="95">
        <v>46176</v>
      </c>
      <c r="N13" s="120" t="s">
        <v>614</v>
      </c>
      <c r="O13" s="30" t="str">
        <f t="shared" si="1"/>
        <v>🔴 Rever em 10/06/2026</v>
      </c>
      <c r="P13" s="123" t="str">
        <f t="shared" si="2"/>
        <v>🚨 CRÍTICO: Alta incidência + baixo aproveitamento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2">
      <c r="A14" s="1"/>
      <c r="B14" s="213"/>
      <c r="C14" s="23">
        <v>5</v>
      </c>
      <c r="D14" s="23">
        <v>3</v>
      </c>
      <c r="E14" s="24">
        <v>5</v>
      </c>
      <c r="F14" s="25" t="s">
        <v>423</v>
      </c>
      <c r="G14" s="24">
        <v>71</v>
      </c>
      <c r="H14" s="24">
        <v>26</v>
      </c>
      <c r="I14" s="24">
        <v>14</v>
      </c>
      <c r="J14" s="82">
        <f t="shared" si="0"/>
        <v>0.53846153846153844</v>
      </c>
      <c r="K14" s="95">
        <v>46130</v>
      </c>
      <c r="L14" s="95">
        <v>46140</v>
      </c>
      <c r="M14" s="95">
        <v>46154</v>
      </c>
      <c r="N14" s="120" t="s">
        <v>615</v>
      </c>
      <c r="O14" s="30" t="str">
        <f t="shared" si="1"/>
        <v>🔴 Rever em 19/05/2026</v>
      </c>
      <c r="P14" s="123" t="str">
        <f t="shared" si="2"/>
        <v>🚨 CRÍTICO: Alta incidência + baixo aproveitamento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2">
      <c r="A15" s="1"/>
      <c r="B15" s="213"/>
      <c r="C15" s="23">
        <v>6</v>
      </c>
      <c r="D15" s="23">
        <v>3</v>
      </c>
      <c r="E15" s="24">
        <v>5</v>
      </c>
      <c r="F15" s="25" t="s">
        <v>424</v>
      </c>
      <c r="G15" s="24">
        <v>67</v>
      </c>
      <c r="H15" s="24">
        <v>50</v>
      </c>
      <c r="I15" s="24"/>
      <c r="J15" s="82">
        <f t="shared" si="0"/>
        <v>0</v>
      </c>
      <c r="K15" s="83"/>
      <c r="L15" s="83"/>
      <c r="M15" s="83"/>
      <c r="N15" s="120" t="s">
        <v>241</v>
      </c>
      <c r="O15" s="30" t="str">
        <f t="shared" si="1"/>
        <v>⬜ Aguardando 3º contato</v>
      </c>
      <c r="P15" s="123" t="str">
        <f t="shared" si="2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x14ac:dyDescent="0.2">
      <c r="A16" s="1"/>
      <c r="B16" s="213"/>
      <c r="C16" s="23">
        <v>3</v>
      </c>
      <c r="D16" s="23">
        <v>0</v>
      </c>
      <c r="E16" s="24">
        <v>5</v>
      </c>
      <c r="F16" s="25" t="s">
        <v>425</v>
      </c>
      <c r="G16" s="24">
        <v>80</v>
      </c>
      <c r="H16" s="24">
        <v>50</v>
      </c>
      <c r="I16" s="24"/>
      <c r="J16" s="82">
        <f t="shared" si="0"/>
        <v>0</v>
      </c>
      <c r="K16" s="95"/>
      <c r="L16" s="95"/>
      <c r="M16" s="95"/>
      <c r="N16" s="120" t="s">
        <v>244</v>
      </c>
      <c r="O16" s="30" t="str">
        <f t="shared" si="1"/>
        <v>⬜ Aguardando 3º contato</v>
      </c>
      <c r="P16" s="123" t="str">
        <f t="shared" si="2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 x14ac:dyDescent="0.2">
      <c r="A17" s="1"/>
      <c r="B17" s="213"/>
      <c r="C17" s="23">
        <v>2</v>
      </c>
      <c r="D17" s="23">
        <v>2</v>
      </c>
      <c r="E17" s="24">
        <v>4</v>
      </c>
      <c r="F17" s="25" t="s">
        <v>426</v>
      </c>
      <c r="G17" s="24">
        <v>25</v>
      </c>
      <c r="H17" s="24">
        <v>40</v>
      </c>
      <c r="I17" s="24"/>
      <c r="J17" s="82">
        <f t="shared" si="0"/>
        <v>0</v>
      </c>
      <c r="K17" s="95"/>
      <c r="L17" s="95"/>
      <c r="M17" s="95"/>
      <c r="N17" s="120" t="s">
        <v>591</v>
      </c>
      <c r="O17" s="30" t="str">
        <f t="shared" si="1"/>
        <v>⬜ Aguardando 3º contato</v>
      </c>
      <c r="P17" s="123" t="str">
        <f t="shared" si="2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2">
      <c r="A18" s="1"/>
      <c r="B18" s="213"/>
      <c r="C18" s="23">
        <v>3</v>
      </c>
      <c r="D18" s="23">
        <v>3</v>
      </c>
      <c r="E18" s="24">
        <v>4</v>
      </c>
      <c r="F18" s="25" t="s">
        <v>427</v>
      </c>
      <c r="G18" s="24">
        <v>81</v>
      </c>
      <c r="H18" s="24">
        <v>40</v>
      </c>
      <c r="I18" s="24"/>
      <c r="J18" s="82">
        <f t="shared" si="0"/>
        <v>0</v>
      </c>
      <c r="K18" s="95"/>
      <c r="L18" s="95"/>
      <c r="M18" s="95"/>
      <c r="N18" s="120" t="s">
        <v>243</v>
      </c>
      <c r="O18" s="30" t="str">
        <f t="shared" si="1"/>
        <v>⬜ Aguardando 3º contato</v>
      </c>
      <c r="P18" s="123" t="str">
        <f t="shared" si="2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2">
      <c r="A19" s="1"/>
      <c r="B19" s="213"/>
      <c r="C19" s="23">
        <v>2</v>
      </c>
      <c r="D19" s="23">
        <v>2</v>
      </c>
      <c r="E19" s="24">
        <v>3</v>
      </c>
      <c r="F19" s="25" t="s">
        <v>428</v>
      </c>
      <c r="G19" s="24">
        <v>33</v>
      </c>
      <c r="H19" s="24">
        <v>30</v>
      </c>
      <c r="I19" s="24"/>
      <c r="J19" s="82">
        <f t="shared" si="0"/>
        <v>0</v>
      </c>
      <c r="K19" s="95"/>
      <c r="L19" s="95"/>
      <c r="M19" s="95"/>
      <c r="N19" s="120" t="s">
        <v>239</v>
      </c>
      <c r="O19" s="30" t="str">
        <f t="shared" si="1"/>
        <v>⬜ Aguardando 3º contato</v>
      </c>
      <c r="P19" s="123" t="str">
        <f t="shared" si="2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2">
      <c r="A20" s="1"/>
      <c r="B20" s="214"/>
      <c r="C20" s="23">
        <v>2</v>
      </c>
      <c r="D20" s="23">
        <v>0</v>
      </c>
      <c r="E20" s="24">
        <v>1</v>
      </c>
      <c r="F20" s="25" t="s">
        <v>429</v>
      </c>
      <c r="G20" s="24">
        <v>32</v>
      </c>
      <c r="H20" s="24">
        <v>10</v>
      </c>
      <c r="I20" s="24"/>
      <c r="J20" s="82">
        <f t="shared" si="0"/>
        <v>0</v>
      </c>
      <c r="K20" s="95"/>
      <c r="L20" s="95"/>
      <c r="M20" s="95"/>
      <c r="N20" s="120" t="s">
        <v>238</v>
      </c>
      <c r="O20" s="30" t="str">
        <f t="shared" si="1"/>
        <v>⬜ Aguardando 3º contato</v>
      </c>
      <c r="P20" s="123" t="str">
        <f t="shared" si="2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2">
      <c r="A21" s="1"/>
      <c r="B21" s="215" t="s">
        <v>152</v>
      </c>
      <c r="C21" s="124">
        <v>3</v>
      </c>
      <c r="D21" s="124">
        <v>14</v>
      </c>
      <c r="E21" s="87">
        <v>5</v>
      </c>
      <c r="F21" s="35" t="s">
        <v>430</v>
      </c>
      <c r="G21" s="34">
        <v>52</v>
      </c>
      <c r="H21" s="34">
        <f>37+15</f>
        <v>52</v>
      </c>
      <c r="I21" s="34">
        <f>29+11</f>
        <v>40</v>
      </c>
      <c r="J21" s="88">
        <f t="shared" si="0"/>
        <v>0.76923076923076927</v>
      </c>
      <c r="K21" s="96">
        <v>46099</v>
      </c>
      <c r="L21" s="96">
        <v>46105</v>
      </c>
      <c r="M21" s="96">
        <v>46175</v>
      </c>
      <c r="N21" s="125" t="s">
        <v>338</v>
      </c>
      <c r="O21" s="126" t="str">
        <f t="shared" si="1"/>
        <v>🟡 Rever em 02/07/2026</v>
      </c>
      <c r="P21" s="127" t="str">
        <f t="shared" si="2"/>
        <v>📌 Atenção: Alta incidência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2">
      <c r="A22" s="1"/>
      <c r="B22" s="213"/>
      <c r="C22" s="124">
        <v>11</v>
      </c>
      <c r="D22" s="124">
        <v>7</v>
      </c>
      <c r="E22" s="87">
        <v>5</v>
      </c>
      <c r="F22" s="35" t="s">
        <v>153</v>
      </c>
      <c r="G22" s="128">
        <v>41</v>
      </c>
      <c r="H22" s="34">
        <v>30</v>
      </c>
      <c r="I22" s="34">
        <v>22</v>
      </c>
      <c r="J22" s="88">
        <f t="shared" si="0"/>
        <v>0.73333333333333328</v>
      </c>
      <c r="K22" s="96">
        <v>46157</v>
      </c>
      <c r="L22" s="96">
        <v>46166</v>
      </c>
      <c r="M22" s="96"/>
      <c r="N22" s="125" t="s">
        <v>616</v>
      </c>
      <c r="O22" s="40" t="str">
        <f t="shared" si="1"/>
        <v>⬜ Aguardando 3º contato</v>
      </c>
      <c r="P22" s="127" t="str">
        <f t="shared" si="2"/>
        <v>📌 Atenção: Alta incidência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">
      <c r="A23" s="1"/>
      <c r="B23" s="213"/>
      <c r="C23" s="124">
        <v>11</v>
      </c>
      <c r="D23" s="124">
        <v>5</v>
      </c>
      <c r="E23" s="87">
        <v>5</v>
      </c>
      <c r="F23" s="35" t="s">
        <v>431</v>
      </c>
      <c r="G23" s="34">
        <v>53</v>
      </c>
      <c r="H23" s="34">
        <f>37+14</f>
        <v>51</v>
      </c>
      <c r="I23" s="34">
        <f>27+9</f>
        <v>36</v>
      </c>
      <c r="J23" s="88">
        <f t="shared" si="0"/>
        <v>0.70588235294117652</v>
      </c>
      <c r="K23" s="96">
        <v>46050</v>
      </c>
      <c r="L23" s="96">
        <v>46071</v>
      </c>
      <c r="M23" s="96">
        <v>46175</v>
      </c>
      <c r="N23" s="125" t="s">
        <v>617</v>
      </c>
      <c r="O23" s="40" t="str">
        <f t="shared" si="1"/>
        <v>🟡 Rever em 02/07/2026</v>
      </c>
      <c r="P23" s="127" t="str">
        <f t="shared" si="2"/>
        <v>📌 Atenção: Alta incidência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2">
      <c r="A24" s="1"/>
      <c r="B24" s="213"/>
      <c r="C24" s="124">
        <v>3</v>
      </c>
      <c r="D24" s="124">
        <v>3</v>
      </c>
      <c r="E24" s="87">
        <v>5</v>
      </c>
      <c r="F24" s="35" t="s">
        <v>432</v>
      </c>
      <c r="G24" s="34">
        <v>31</v>
      </c>
      <c r="H24" s="34">
        <f>22+14</f>
        <v>36</v>
      </c>
      <c r="I24" s="34">
        <f>16+13</f>
        <v>29</v>
      </c>
      <c r="J24" s="88">
        <f t="shared" si="0"/>
        <v>0.80555555555555558</v>
      </c>
      <c r="K24" s="96">
        <v>46065</v>
      </c>
      <c r="L24" s="96">
        <v>46084</v>
      </c>
      <c r="M24" s="96">
        <v>46168</v>
      </c>
      <c r="N24" s="125" t="s">
        <v>247</v>
      </c>
      <c r="O24" s="40" t="str">
        <f t="shared" si="1"/>
        <v>🔵 Rever em 10/07/2026</v>
      </c>
      <c r="P24" s="127" t="str">
        <f t="shared" si="2"/>
        <v/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">
      <c r="A25" s="1"/>
      <c r="B25" s="213"/>
      <c r="C25" s="124">
        <v>1</v>
      </c>
      <c r="D25" s="124">
        <v>0</v>
      </c>
      <c r="E25" s="87">
        <v>4</v>
      </c>
      <c r="F25" s="35" t="s">
        <v>433</v>
      </c>
      <c r="G25" s="34">
        <v>25</v>
      </c>
      <c r="H25" s="34">
        <v>13</v>
      </c>
      <c r="I25" s="34">
        <f>9</f>
        <v>9</v>
      </c>
      <c r="J25" s="88">
        <f t="shared" si="0"/>
        <v>0.69230769230769229</v>
      </c>
      <c r="K25" s="96">
        <v>46168</v>
      </c>
      <c r="L25" s="96"/>
      <c r="M25" s="96"/>
      <c r="N25" s="125" t="s">
        <v>591</v>
      </c>
      <c r="O25" s="40" t="str">
        <f t="shared" si="1"/>
        <v>⬜ Aguardando 3º contato</v>
      </c>
      <c r="P25" s="127" t="str">
        <f t="shared" si="2"/>
        <v>⚠️ Baixo aproveitamento - revisar urgente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2">
      <c r="A26" s="1"/>
      <c r="B26" s="213"/>
      <c r="C26" s="124">
        <v>2</v>
      </c>
      <c r="D26" s="124">
        <v>0</v>
      </c>
      <c r="E26" s="87">
        <v>4</v>
      </c>
      <c r="F26" s="35" t="s">
        <v>434</v>
      </c>
      <c r="G26" s="34">
        <v>25</v>
      </c>
      <c r="H26" s="34">
        <v>40</v>
      </c>
      <c r="I26" s="34"/>
      <c r="J26" s="88">
        <f t="shared" si="0"/>
        <v>0</v>
      </c>
      <c r="K26" s="96"/>
      <c r="L26" s="96"/>
      <c r="M26" s="96"/>
      <c r="N26" s="125" t="s">
        <v>250</v>
      </c>
      <c r="O26" s="40" t="str">
        <f t="shared" si="1"/>
        <v>⬜ Aguardando 3º contato</v>
      </c>
      <c r="P26" s="127" t="str">
        <f t="shared" si="2"/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">
      <c r="A27" s="1"/>
      <c r="B27" s="213"/>
      <c r="C27" s="124">
        <v>19</v>
      </c>
      <c r="D27" s="124">
        <v>11</v>
      </c>
      <c r="E27" s="87">
        <v>4</v>
      </c>
      <c r="F27" s="35" t="s">
        <v>154</v>
      </c>
      <c r="G27" s="34">
        <v>35</v>
      </c>
      <c r="H27" s="34">
        <f>37+15</f>
        <v>52</v>
      </c>
      <c r="I27" s="34">
        <f>30+11</f>
        <v>41</v>
      </c>
      <c r="J27" s="88">
        <f t="shared" si="0"/>
        <v>0.78846153846153844</v>
      </c>
      <c r="K27" s="96">
        <v>46086</v>
      </c>
      <c r="L27" s="96">
        <v>46099</v>
      </c>
      <c r="M27" s="96">
        <v>46198</v>
      </c>
      <c r="N27" s="125" t="s">
        <v>618</v>
      </c>
      <c r="O27" s="40" t="str">
        <f t="shared" si="1"/>
        <v>🟡 Rever em 25/07/2026</v>
      </c>
      <c r="P27" s="127" t="str">
        <f t="shared" si="2"/>
        <v>📌 Atenção: Alta incidência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2">
      <c r="A28" s="1"/>
      <c r="B28" s="213"/>
      <c r="C28" s="124">
        <v>8</v>
      </c>
      <c r="D28" s="124">
        <v>5</v>
      </c>
      <c r="E28" s="87">
        <v>5</v>
      </c>
      <c r="F28" s="35" t="s">
        <v>435</v>
      </c>
      <c r="G28" s="34">
        <v>34</v>
      </c>
      <c r="H28" s="34">
        <f>37+15</f>
        <v>52</v>
      </c>
      <c r="I28" s="34">
        <f>28+13</f>
        <v>41</v>
      </c>
      <c r="J28" s="88">
        <f t="shared" si="0"/>
        <v>0.78846153846153844</v>
      </c>
      <c r="K28" s="96">
        <v>46085</v>
      </c>
      <c r="L28" s="96">
        <v>46091</v>
      </c>
      <c r="M28" s="96">
        <v>46181</v>
      </c>
      <c r="N28" s="125" t="s">
        <v>619</v>
      </c>
      <c r="O28" s="40" t="str">
        <f t="shared" si="1"/>
        <v>🟡 Rever em 08/07/2026</v>
      </c>
      <c r="P28" s="127" t="str">
        <f t="shared" si="2"/>
        <v>📌 Atenção: Alta incidência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">
      <c r="A29" s="1"/>
      <c r="B29" s="213"/>
      <c r="C29" s="124">
        <v>0</v>
      </c>
      <c r="D29" s="124">
        <v>0</v>
      </c>
      <c r="E29" s="87">
        <v>4</v>
      </c>
      <c r="F29" s="35" t="s">
        <v>436</v>
      </c>
      <c r="G29" s="34">
        <v>22</v>
      </c>
      <c r="H29" s="34">
        <v>40</v>
      </c>
      <c r="I29" s="34"/>
      <c r="J29" s="88">
        <f t="shared" si="0"/>
        <v>0</v>
      </c>
      <c r="K29" s="96"/>
      <c r="L29" s="96"/>
      <c r="M29" s="96"/>
      <c r="N29" s="125" t="s">
        <v>588</v>
      </c>
      <c r="O29" s="40" t="str">
        <f t="shared" si="1"/>
        <v>⬜ Aguardando 3º contato</v>
      </c>
      <c r="P29" s="127" t="str">
        <f t="shared" si="2"/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">
      <c r="A30" s="1"/>
      <c r="B30" s="213"/>
      <c r="C30" s="124">
        <v>1</v>
      </c>
      <c r="D30" s="124">
        <v>0</v>
      </c>
      <c r="E30" s="87">
        <v>4</v>
      </c>
      <c r="F30" s="35" t="s">
        <v>437</v>
      </c>
      <c r="G30" s="34">
        <v>21</v>
      </c>
      <c r="H30" s="34">
        <v>40</v>
      </c>
      <c r="I30" s="34"/>
      <c r="J30" s="88">
        <f t="shared" si="0"/>
        <v>0</v>
      </c>
      <c r="K30" s="96"/>
      <c r="L30" s="96"/>
      <c r="M30" s="96"/>
      <c r="N30" s="125" t="s">
        <v>248</v>
      </c>
      <c r="O30" s="40" t="str">
        <f t="shared" si="1"/>
        <v>⬜ Aguardando 3º contato</v>
      </c>
      <c r="P30" s="127" t="str">
        <f t="shared" si="2"/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">
      <c r="A31" s="1"/>
      <c r="B31" s="213"/>
      <c r="C31" s="124">
        <v>6</v>
      </c>
      <c r="D31" s="124">
        <v>6</v>
      </c>
      <c r="E31" s="87">
        <v>5</v>
      </c>
      <c r="F31" s="35" t="s">
        <v>438</v>
      </c>
      <c r="G31" s="34">
        <v>34</v>
      </c>
      <c r="H31" s="34">
        <v>22</v>
      </c>
      <c r="I31" s="34">
        <v>18</v>
      </c>
      <c r="J31" s="88">
        <f t="shared" si="0"/>
        <v>0.81818181818181823</v>
      </c>
      <c r="K31" s="96">
        <v>46099</v>
      </c>
      <c r="L31" s="96">
        <v>46130</v>
      </c>
      <c r="M31" s="96"/>
      <c r="N31" s="125" t="s">
        <v>620</v>
      </c>
      <c r="O31" s="40" t="str">
        <f t="shared" si="1"/>
        <v>⬜ Aguardando 3º contato</v>
      </c>
      <c r="P31" s="127" t="str">
        <f t="shared" si="2"/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">
      <c r="A32" s="1"/>
      <c r="B32" s="213"/>
      <c r="C32" s="124">
        <v>4</v>
      </c>
      <c r="D32" s="124">
        <v>6</v>
      </c>
      <c r="E32" s="92">
        <v>4</v>
      </c>
      <c r="F32" s="242" t="s">
        <v>255</v>
      </c>
      <c r="G32" s="129">
        <v>30</v>
      </c>
      <c r="H32" s="34">
        <v>40</v>
      </c>
      <c r="I32" s="34"/>
      <c r="J32" s="88">
        <f t="shared" si="0"/>
        <v>0</v>
      </c>
      <c r="K32" s="96"/>
      <c r="L32" s="96"/>
      <c r="M32" s="96"/>
      <c r="N32" s="125" t="s">
        <v>591</v>
      </c>
      <c r="O32" s="40" t="str">
        <f t="shared" si="1"/>
        <v>⬜ Aguardando 3º contato</v>
      </c>
      <c r="P32" s="127" t="str">
        <f t="shared" si="2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">
      <c r="A33" s="1"/>
      <c r="B33" s="213"/>
      <c r="C33" s="124">
        <v>1</v>
      </c>
      <c r="D33" s="124">
        <v>4</v>
      </c>
      <c r="E33" s="92">
        <v>4</v>
      </c>
      <c r="F33" s="242" t="s">
        <v>439</v>
      </c>
      <c r="G33" s="129">
        <v>37</v>
      </c>
      <c r="H33" s="34">
        <v>40</v>
      </c>
      <c r="I33" s="34"/>
      <c r="J33" s="88">
        <f t="shared" si="0"/>
        <v>0</v>
      </c>
      <c r="K33" s="96"/>
      <c r="L33" s="96"/>
      <c r="M33" s="96"/>
      <c r="N33" s="125" t="s">
        <v>253</v>
      </c>
      <c r="O33" s="40" t="str">
        <f t="shared" si="1"/>
        <v>⬜ Aguardando 3º contato</v>
      </c>
      <c r="P33" s="127" t="str">
        <f t="shared" si="2"/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2">
      <c r="A34" s="1"/>
      <c r="B34" s="213"/>
      <c r="C34" s="124">
        <v>3</v>
      </c>
      <c r="D34" s="124">
        <v>2</v>
      </c>
      <c r="E34" s="92">
        <v>3</v>
      </c>
      <c r="F34" s="242" t="s">
        <v>155</v>
      </c>
      <c r="G34" s="129">
        <v>22</v>
      </c>
      <c r="H34" s="34">
        <v>30</v>
      </c>
      <c r="I34" s="34"/>
      <c r="J34" s="88">
        <f t="shared" si="0"/>
        <v>0</v>
      </c>
      <c r="K34" s="96"/>
      <c r="L34" s="96"/>
      <c r="M34" s="96"/>
      <c r="N34" s="125" t="s">
        <v>591</v>
      </c>
      <c r="O34" s="40" t="str">
        <f t="shared" si="1"/>
        <v>⬜ Aguardando 3º contato</v>
      </c>
      <c r="P34" s="127" t="str">
        <f t="shared" si="2"/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2">
      <c r="A35" s="1"/>
      <c r="B35" s="213"/>
      <c r="C35" s="124">
        <v>4</v>
      </c>
      <c r="D35" s="124">
        <v>2</v>
      </c>
      <c r="E35" s="92">
        <v>3</v>
      </c>
      <c r="F35" s="242" t="s">
        <v>156</v>
      </c>
      <c r="G35" s="129">
        <v>23</v>
      </c>
      <c r="H35" s="34">
        <v>30</v>
      </c>
      <c r="I35" s="34"/>
      <c r="J35" s="88">
        <f t="shared" si="0"/>
        <v>0</v>
      </c>
      <c r="K35" s="96"/>
      <c r="L35" s="96"/>
      <c r="M35" s="96"/>
      <c r="N35" s="125" t="s">
        <v>254</v>
      </c>
      <c r="O35" s="40" t="str">
        <f t="shared" si="1"/>
        <v>⬜ Aguardando 3º contato</v>
      </c>
      <c r="P35" s="127" t="str">
        <f t="shared" si="2"/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">
      <c r="A36" s="1"/>
      <c r="B36" s="213"/>
      <c r="C36" s="124">
        <v>2</v>
      </c>
      <c r="D36" s="124">
        <v>4</v>
      </c>
      <c r="E36" s="92">
        <v>4</v>
      </c>
      <c r="F36" s="242" t="s">
        <v>157</v>
      </c>
      <c r="G36" s="129">
        <v>28</v>
      </c>
      <c r="H36" s="34">
        <v>40</v>
      </c>
      <c r="I36" s="34"/>
      <c r="J36" s="88">
        <f t="shared" si="0"/>
        <v>0</v>
      </c>
      <c r="K36" s="96"/>
      <c r="L36" s="96"/>
      <c r="M36" s="96"/>
      <c r="N36" s="125" t="s">
        <v>251</v>
      </c>
      <c r="O36" s="40" t="str">
        <f t="shared" si="1"/>
        <v>⬜ Aguardando 3º contato</v>
      </c>
      <c r="P36" s="127" t="str">
        <f t="shared" si="2"/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">
      <c r="A37" s="1"/>
      <c r="B37" s="213"/>
      <c r="C37" s="124">
        <v>3</v>
      </c>
      <c r="D37" s="124">
        <v>3</v>
      </c>
      <c r="E37" s="92">
        <v>4</v>
      </c>
      <c r="F37" s="242" t="s">
        <v>440</v>
      </c>
      <c r="G37" s="129">
        <v>17</v>
      </c>
      <c r="H37" s="34">
        <v>40</v>
      </c>
      <c r="I37" s="34"/>
      <c r="J37" s="88">
        <f t="shared" si="0"/>
        <v>0</v>
      </c>
      <c r="K37" s="96"/>
      <c r="L37" s="96"/>
      <c r="M37" s="96"/>
      <c r="N37" s="125" t="s">
        <v>337</v>
      </c>
      <c r="O37" s="40" t="str">
        <f t="shared" si="1"/>
        <v>⬜ Aguardando 3º contato</v>
      </c>
      <c r="P37" s="127" t="str">
        <f t="shared" si="2"/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">
      <c r="A38" s="1"/>
      <c r="B38" s="213"/>
      <c r="C38" s="124">
        <v>6</v>
      </c>
      <c r="D38" s="124">
        <v>4</v>
      </c>
      <c r="E38" s="92">
        <v>3</v>
      </c>
      <c r="F38" s="242" t="s">
        <v>441</v>
      </c>
      <c r="G38" s="129">
        <v>18</v>
      </c>
      <c r="H38" s="34">
        <v>30</v>
      </c>
      <c r="I38" s="34"/>
      <c r="J38" s="88">
        <f t="shared" si="0"/>
        <v>0</v>
      </c>
      <c r="K38" s="96"/>
      <c r="L38" s="96"/>
      <c r="M38" s="96"/>
      <c r="N38" s="125" t="s">
        <v>246</v>
      </c>
      <c r="O38" s="40" t="str">
        <f t="shared" si="1"/>
        <v>⬜ Aguardando 3º contato</v>
      </c>
      <c r="P38" s="127" t="str">
        <f t="shared" si="2"/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">
      <c r="A39" s="1"/>
      <c r="B39" s="213"/>
      <c r="C39" s="124">
        <v>2</v>
      </c>
      <c r="D39" s="124">
        <v>2</v>
      </c>
      <c r="E39" s="92">
        <v>2</v>
      </c>
      <c r="F39" s="242" t="s">
        <v>442</v>
      </c>
      <c r="G39" s="129">
        <v>37</v>
      </c>
      <c r="H39" s="34">
        <v>20</v>
      </c>
      <c r="I39" s="34"/>
      <c r="J39" s="88">
        <f t="shared" si="0"/>
        <v>0</v>
      </c>
      <c r="K39" s="96"/>
      <c r="L39" s="96"/>
      <c r="M39" s="96"/>
      <c r="N39" s="125" t="s">
        <v>252</v>
      </c>
      <c r="O39" s="40" t="str">
        <f t="shared" si="1"/>
        <v>⬜ Aguardando 3º contato</v>
      </c>
      <c r="P39" s="127" t="str">
        <f t="shared" si="2"/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">
      <c r="A40" s="1"/>
      <c r="B40" s="213"/>
      <c r="C40" s="124">
        <v>1</v>
      </c>
      <c r="D40" s="124">
        <v>0</v>
      </c>
      <c r="E40" s="92">
        <v>3</v>
      </c>
      <c r="F40" s="242" t="s">
        <v>158</v>
      </c>
      <c r="G40" s="129">
        <v>15</v>
      </c>
      <c r="H40" s="34">
        <v>30</v>
      </c>
      <c r="I40" s="34"/>
      <c r="J40" s="88">
        <f t="shared" si="0"/>
        <v>0</v>
      </c>
      <c r="K40" s="96"/>
      <c r="L40" s="96"/>
      <c r="M40" s="96"/>
      <c r="N40" s="125" t="s">
        <v>249</v>
      </c>
      <c r="O40" s="40" t="str">
        <f t="shared" si="1"/>
        <v>⬜ Aguardando 3º contato</v>
      </c>
      <c r="P40" s="127" t="str">
        <f t="shared" si="2"/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">
      <c r="A41" s="1"/>
      <c r="B41" s="213"/>
      <c r="C41" s="124">
        <v>1</v>
      </c>
      <c r="D41" s="124">
        <v>2</v>
      </c>
      <c r="E41" s="92">
        <v>2</v>
      </c>
      <c r="F41" s="242" t="s">
        <v>443</v>
      </c>
      <c r="G41" s="129">
        <v>17</v>
      </c>
      <c r="H41" s="34">
        <v>20</v>
      </c>
      <c r="I41" s="34"/>
      <c r="J41" s="88">
        <f t="shared" si="0"/>
        <v>0</v>
      </c>
      <c r="K41" s="96"/>
      <c r="L41" s="96"/>
      <c r="M41" s="96"/>
      <c r="N41" s="125" t="s">
        <v>245</v>
      </c>
      <c r="O41" s="40" t="str">
        <f t="shared" si="1"/>
        <v>⬜ Aguardando 3º contato</v>
      </c>
      <c r="P41" s="127" t="str">
        <f t="shared" si="2"/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">
      <c r="A42" s="1"/>
      <c r="B42" s="216"/>
      <c r="C42" s="124">
        <v>0</v>
      </c>
      <c r="D42" s="124">
        <v>0</v>
      </c>
      <c r="E42" s="92">
        <v>1</v>
      </c>
      <c r="F42" s="242" t="s">
        <v>444</v>
      </c>
      <c r="G42" s="129">
        <v>24</v>
      </c>
      <c r="H42" s="129">
        <v>10</v>
      </c>
      <c r="I42" s="129"/>
      <c r="J42" s="88">
        <f t="shared" si="0"/>
        <v>0</v>
      </c>
      <c r="K42" s="130"/>
      <c r="L42" s="130"/>
      <c r="M42" s="130"/>
      <c r="N42" s="131" t="s">
        <v>588</v>
      </c>
      <c r="O42" s="40" t="str">
        <f t="shared" si="1"/>
        <v>⬜ Aguardando 3º contato</v>
      </c>
      <c r="P42" s="132" t="str">
        <f t="shared" si="2"/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">
      <c r="A43" s="1"/>
      <c r="B43" s="52"/>
      <c r="C43" s="53"/>
      <c r="D43" s="53"/>
      <c r="E43" s="206" t="s">
        <v>101</v>
      </c>
      <c r="F43" s="207"/>
      <c r="G43" s="54">
        <v>28</v>
      </c>
      <c r="H43" s="55">
        <v>1279</v>
      </c>
      <c r="I43" s="55"/>
      <c r="J43" s="55"/>
      <c r="K43" s="52"/>
      <c r="L43" s="52"/>
      <c r="M43" s="52"/>
      <c r="N43" s="56"/>
      <c r="O43" s="57"/>
      <c r="P43" s="57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2">
      <c r="A44" s="1"/>
      <c r="B44" s="52"/>
      <c r="C44" s="52"/>
      <c r="D44" s="52"/>
      <c r="E44" s="52"/>
      <c r="F44" s="52"/>
      <c r="G44" s="99" t="s">
        <v>102</v>
      </c>
      <c r="H44" s="55" t="s">
        <v>103</v>
      </c>
      <c r="I44" s="55"/>
      <c r="J44" s="55"/>
      <c r="K44" s="52"/>
      <c r="L44" s="52"/>
      <c r="M44" s="52"/>
      <c r="N44" s="56"/>
      <c r="O44" s="57"/>
      <c r="P44" s="5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">
      <c r="A45" s="1"/>
      <c r="B45" s="1"/>
      <c r="C45" s="2"/>
      <c r="D45" s="2"/>
      <c r="E45" s="2"/>
      <c r="F45" s="1"/>
      <c r="G45" s="2"/>
      <c r="H45" s="2"/>
      <c r="I45" s="2"/>
      <c r="J45" s="2"/>
      <c r="K45" s="133"/>
      <c r="L45" s="133"/>
      <c r="M45" s="133"/>
      <c r="N45" s="13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">
      <c r="A46" s="1"/>
      <c r="B46" s="1"/>
      <c r="C46" s="2"/>
      <c r="D46" s="2"/>
      <c r="E46" s="2"/>
      <c r="F46" s="1"/>
      <c r="G46" s="2"/>
      <c r="H46" s="2"/>
      <c r="I46" s="2"/>
      <c r="J46" s="2"/>
      <c r="K46" s="133"/>
      <c r="L46" s="133"/>
      <c r="M46" s="133"/>
      <c r="N46" s="134"/>
      <c r="O46" s="4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">
      <c r="A47" s="1"/>
      <c r="B47" s="1"/>
      <c r="C47" s="2"/>
      <c r="D47" s="2"/>
      <c r="E47" s="2"/>
      <c r="F47" s="1"/>
      <c r="G47" s="2"/>
      <c r="H47" s="2"/>
      <c r="I47" s="2"/>
      <c r="J47" s="2"/>
      <c r="K47" s="133"/>
      <c r="L47" s="133"/>
      <c r="M47" s="133"/>
      <c r="N47" s="13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">
      <c r="A48" s="1"/>
      <c r="B48" s="1"/>
      <c r="C48" s="2"/>
      <c r="D48" s="2"/>
      <c r="E48" s="2"/>
      <c r="F48" s="1"/>
      <c r="G48" s="2"/>
      <c r="H48" s="2"/>
      <c r="I48" s="2"/>
      <c r="J48" s="2"/>
      <c r="K48" s="133"/>
      <c r="L48" s="133"/>
      <c r="M48" s="133"/>
      <c r="N48" s="134"/>
      <c r="O48" s="4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">
      <c r="A49" s="1"/>
      <c r="B49" s="1"/>
      <c r="C49" s="2"/>
      <c r="D49" s="2"/>
      <c r="E49" s="2"/>
      <c r="F49" s="1"/>
      <c r="G49" s="2"/>
      <c r="H49" s="2"/>
      <c r="I49" s="2"/>
      <c r="J49" s="2"/>
      <c r="K49" s="133"/>
      <c r="L49" s="133"/>
      <c r="M49" s="133"/>
      <c r="N49" s="134"/>
      <c r="O49" s="4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">
      <c r="A50" s="1"/>
      <c r="B50" s="1"/>
      <c r="C50" s="2"/>
      <c r="D50" s="2"/>
      <c r="E50" s="2"/>
      <c r="F50" s="1"/>
      <c r="G50" s="2"/>
      <c r="H50" s="2"/>
      <c r="I50" s="2"/>
      <c r="J50" s="2"/>
      <c r="K50" s="133"/>
      <c r="L50" s="133"/>
      <c r="M50" s="133"/>
      <c r="N50" s="134"/>
      <c r="O50" s="4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">
      <c r="A51" s="1"/>
      <c r="B51" s="1"/>
      <c r="C51" s="2"/>
      <c r="D51" s="2"/>
      <c r="E51" s="2"/>
      <c r="F51" s="1"/>
      <c r="G51" s="2"/>
      <c r="H51" s="2"/>
      <c r="I51" s="2"/>
      <c r="J51" s="2"/>
      <c r="K51" s="133"/>
      <c r="L51" s="133"/>
      <c r="M51" s="133"/>
      <c r="N51" s="134"/>
      <c r="O51" s="4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">
      <c r="A52" s="1"/>
      <c r="B52" s="1"/>
      <c r="C52" s="2"/>
      <c r="D52" s="2"/>
      <c r="E52" s="2"/>
      <c r="F52" s="1"/>
      <c r="G52" s="2"/>
      <c r="H52" s="2"/>
      <c r="I52" s="2"/>
      <c r="J52" s="2"/>
      <c r="K52" s="133"/>
      <c r="L52" s="133"/>
      <c r="M52" s="133"/>
      <c r="N52" s="134"/>
      <c r="O52" s="4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2">
      <c r="A53" s="1"/>
      <c r="B53" s="1"/>
      <c r="C53" s="2"/>
      <c r="D53" s="2"/>
      <c r="E53" s="2"/>
      <c r="F53" s="1"/>
      <c r="G53" s="2"/>
      <c r="H53" s="2"/>
      <c r="I53" s="2"/>
      <c r="J53" s="2"/>
      <c r="K53" s="133"/>
      <c r="L53" s="133"/>
      <c r="M53" s="133"/>
      <c r="N53" s="134"/>
      <c r="O53" s="4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">
      <c r="A54" s="1"/>
      <c r="B54" s="1"/>
      <c r="C54" s="2"/>
      <c r="D54" s="2"/>
      <c r="E54" s="2"/>
      <c r="F54" s="1"/>
      <c r="G54" s="2"/>
      <c r="H54" s="2"/>
      <c r="I54" s="2"/>
      <c r="J54" s="2"/>
      <c r="K54" s="133"/>
      <c r="L54" s="133"/>
      <c r="M54" s="133"/>
      <c r="N54" s="134"/>
      <c r="O54" s="4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">
      <c r="A55" s="1"/>
      <c r="B55" s="1"/>
      <c r="C55" s="2"/>
      <c r="D55" s="2"/>
      <c r="E55" s="2"/>
      <c r="F55" s="1"/>
      <c r="G55" s="2"/>
      <c r="H55" s="2"/>
      <c r="I55" s="2"/>
      <c r="J55" s="2"/>
      <c r="K55" s="133"/>
      <c r="L55" s="133"/>
      <c r="M55" s="133"/>
      <c r="N55" s="134"/>
      <c r="O55" s="4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">
      <c r="A56" s="1"/>
      <c r="B56" s="1"/>
      <c r="C56" s="2"/>
      <c r="D56" s="2"/>
      <c r="E56" s="2"/>
      <c r="F56" s="1"/>
      <c r="G56" s="2"/>
      <c r="H56" s="2"/>
      <c r="I56" s="2"/>
      <c r="J56" s="2"/>
      <c r="K56" s="133"/>
      <c r="L56" s="133"/>
      <c r="M56" s="133"/>
      <c r="N56" s="134"/>
      <c r="O56" s="4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">
      <c r="A57" s="1"/>
      <c r="B57" s="1"/>
      <c r="C57" s="2"/>
      <c r="D57" s="2"/>
      <c r="E57" s="2"/>
      <c r="F57" s="1"/>
      <c r="G57" s="2"/>
      <c r="H57" s="2"/>
      <c r="I57" s="2"/>
      <c r="J57" s="2"/>
      <c r="K57" s="133"/>
      <c r="L57" s="133"/>
      <c r="M57" s="133"/>
      <c r="N57" s="134"/>
      <c r="O57" s="4"/>
      <c r="P57" s="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">
      <c r="A58" s="1"/>
      <c r="B58" s="1"/>
      <c r="C58" s="2"/>
      <c r="D58" s="2"/>
      <c r="E58" s="2"/>
      <c r="F58" s="1"/>
      <c r="G58" s="2"/>
      <c r="H58" s="2"/>
      <c r="I58" s="2"/>
      <c r="J58" s="2"/>
      <c r="K58" s="133"/>
      <c r="L58" s="133"/>
      <c r="M58" s="133"/>
      <c r="N58" s="134"/>
      <c r="O58" s="4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">
      <c r="A59" s="1"/>
      <c r="B59" s="1"/>
      <c r="C59" s="2"/>
      <c r="D59" s="2"/>
      <c r="E59" s="2"/>
      <c r="F59" s="1"/>
      <c r="G59" s="2"/>
      <c r="H59" s="2"/>
      <c r="I59" s="2"/>
      <c r="J59" s="2"/>
      <c r="K59" s="133"/>
      <c r="L59" s="133"/>
      <c r="M59" s="133"/>
      <c r="N59" s="134"/>
      <c r="O59" s="4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">
      <c r="A60" s="1"/>
      <c r="B60" s="1"/>
      <c r="C60" s="2"/>
      <c r="D60" s="2"/>
      <c r="E60" s="2"/>
      <c r="F60" s="1"/>
      <c r="G60" s="2"/>
      <c r="H60" s="2"/>
      <c r="I60" s="2"/>
      <c r="J60" s="2"/>
      <c r="K60" s="133"/>
      <c r="L60" s="133"/>
      <c r="M60" s="133"/>
      <c r="N60" s="134"/>
      <c r="O60" s="4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">
      <c r="A61" s="1"/>
      <c r="B61" s="1"/>
      <c r="C61" s="2"/>
      <c r="D61" s="2"/>
      <c r="E61" s="2"/>
      <c r="F61" s="1"/>
      <c r="G61" s="2"/>
      <c r="H61" s="2"/>
      <c r="I61" s="2"/>
      <c r="J61" s="2"/>
      <c r="K61" s="133"/>
      <c r="L61" s="133"/>
      <c r="M61" s="133"/>
      <c r="N61" s="134"/>
      <c r="O61" s="4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2">
      <c r="A62" s="1"/>
      <c r="B62" s="1"/>
      <c r="C62" s="2"/>
      <c r="D62" s="2"/>
      <c r="E62" s="2"/>
      <c r="F62" s="1"/>
      <c r="G62" s="2"/>
      <c r="H62" s="2"/>
      <c r="I62" s="2"/>
      <c r="J62" s="2"/>
      <c r="K62" s="133"/>
      <c r="L62" s="133"/>
      <c r="M62" s="133"/>
      <c r="N62" s="134"/>
      <c r="O62" s="4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">
      <c r="A63" s="1"/>
      <c r="B63" s="1"/>
      <c r="C63" s="2"/>
      <c r="D63" s="2"/>
      <c r="E63" s="2"/>
      <c r="F63" s="1"/>
      <c r="G63" s="2"/>
      <c r="H63" s="2"/>
      <c r="I63" s="2"/>
      <c r="J63" s="2"/>
      <c r="K63" s="133"/>
      <c r="L63" s="133"/>
      <c r="M63" s="133"/>
      <c r="N63" s="134"/>
      <c r="O63" s="4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">
      <c r="A64" s="1"/>
      <c r="B64" s="1"/>
      <c r="C64" s="2"/>
      <c r="D64" s="2"/>
      <c r="E64" s="2"/>
      <c r="F64" s="1"/>
      <c r="G64" s="2"/>
      <c r="H64" s="2"/>
      <c r="I64" s="2"/>
      <c r="J64" s="2"/>
      <c r="K64" s="133"/>
      <c r="L64" s="133"/>
      <c r="M64" s="133"/>
      <c r="N64" s="134"/>
      <c r="O64" s="4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">
      <c r="A65" s="1"/>
      <c r="B65" s="1"/>
      <c r="C65" s="2"/>
      <c r="D65" s="2"/>
      <c r="E65" s="2"/>
      <c r="F65" s="1"/>
      <c r="G65" s="2"/>
      <c r="H65" s="2"/>
      <c r="I65" s="2"/>
      <c r="J65" s="2"/>
      <c r="K65" s="133"/>
      <c r="L65" s="133"/>
      <c r="M65" s="133"/>
      <c r="N65" s="134"/>
      <c r="O65" s="4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">
      <c r="A66" s="1"/>
      <c r="B66" s="1"/>
      <c r="C66" s="2"/>
      <c r="D66" s="2"/>
      <c r="E66" s="2"/>
      <c r="F66" s="1"/>
      <c r="G66" s="2"/>
      <c r="H66" s="2"/>
      <c r="I66" s="2"/>
      <c r="J66" s="2"/>
      <c r="K66" s="133"/>
      <c r="L66" s="133"/>
      <c r="M66" s="133"/>
      <c r="N66" s="134"/>
      <c r="O66" s="4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">
      <c r="A67" s="1"/>
      <c r="B67" s="1"/>
      <c r="C67" s="2"/>
      <c r="D67" s="2"/>
      <c r="E67" s="2"/>
      <c r="F67" s="1"/>
      <c r="G67" s="2"/>
      <c r="H67" s="2"/>
      <c r="I67" s="2"/>
      <c r="J67" s="2"/>
      <c r="K67" s="133"/>
      <c r="L67" s="133"/>
      <c r="M67" s="133"/>
      <c r="N67" s="134"/>
      <c r="O67" s="4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">
      <c r="A68" s="1"/>
      <c r="B68" s="1"/>
      <c r="C68" s="2"/>
      <c r="D68" s="2"/>
      <c r="E68" s="2"/>
      <c r="F68" s="1"/>
      <c r="G68" s="2"/>
      <c r="H68" s="2"/>
      <c r="I68" s="2"/>
      <c r="J68" s="2"/>
      <c r="K68" s="133"/>
      <c r="L68" s="133"/>
      <c r="M68" s="133"/>
      <c r="N68" s="134"/>
      <c r="O68" s="4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">
      <c r="A69" s="1"/>
      <c r="B69" s="1"/>
      <c r="C69" s="2"/>
      <c r="D69" s="2"/>
      <c r="E69" s="2"/>
      <c r="F69" s="1"/>
      <c r="G69" s="2"/>
      <c r="H69" s="2"/>
      <c r="I69" s="2"/>
      <c r="J69" s="2"/>
      <c r="K69" s="133"/>
      <c r="L69" s="133"/>
      <c r="M69" s="133"/>
      <c r="N69" s="134"/>
      <c r="O69" s="4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">
      <c r="A70" s="1"/>
      <c r="B70" s="1"/>
      <c r="C70" s="2"/>
      <c r="D70" s="2"/>
      <c r="E70" s="2"/>
      <c r="F70" s="1"/>
      <c r="G70" s="2"/>
      <c r="H70" s="2"/>
      <c r="I70" s="2"/>
      <c r="J70" s="2"/>
      <c r="K70" s="133"/>
      <c r="L70" s="133"/>
      <c r="M70" s="133"/>
      <c r="N70" s="134"/>
      <c r="O70" s="4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2">
      <c r="A71" s="1"/>
      <c r="B71" s="1"/>
      <c r="C71" s="2"/>
      <c r="D71" s="2"/>
      <c r="E71" s="2"/>
      <c r="F71" s="1"/>
      <c r="G71" s="2"/>
      <c r="H71" s="2"/>
      <c r="I71" s="2"/>
      <c r="J71" s="2"/>
      <c r="K71" s="133"/>
      <c r="L71" s="133"/>
      <c r="M71" s="133"/>
      <c r="N71" s="134"/>
      <c r="O71" s="4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">
      <c r="A72" s="1"/>
      <c r="B72" s="1"/>
      <c r="C72" s="2"/>
      <c r="D72" s="2"/>
      <c r="E72" s="2"/>
      <c r="F72" s="1"/>
      <c r="G72" s="2"/>
      <c r="H72" s="2"/>
      <c r="I72" s="2"/>
      <c r="J72" s="2"/>
      <c r="K72" s="133"/>
      <c r="L72" s="133"/>
      <c r="M72" s="133"/>
      <c r="N72" s="134"/>
      <c r="O72" s="4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">
      <c r="A73" s="1"/>
      <c r="B73" s="1"/>
      <c r="C73" s="2"/>
      <c r="D73" s="2"/>
      <c r="E73" s="2"/>
      <c r="F73" s="1"/>
      <c r="G73" s="2"/>
      <c r="H73" s="2"/>
      <c r="I73" s="2"/>
      <c r="J73" s="2"/>
      <c r="K73" s="133"/>
      <c r="L73" s="133"/>
      <c r="M73" s="133"/>
      <c r="N73" s="134"/>
      <c r="O73" s="4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">
      <c r="A74" s="1"/>
      <c r="B74" s="1"/>
      <c r="C74" s="2"/>
      <c r="D74" s="2"/>
      <c r="E74" s="2"/>
      <c r="F74" s="1"/>
      <c r="G74" s="2"/>
      <c r="H74" s="2"/>
      <c r="I74" s="2"/>
      <c r="J74" s="2"/>
      <c r="K74" s="133"/>
      <c r="L74" s="133"/>
      <c r="M74" s="133"/>
      <c r="N74" s="134"/>
      <c r="O74" s="4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">
      <c r="A75" s="1"/>
      <c r="B75" s="1"/>
      <c r="C75" s="2"/>
      <c r="D75" s="2"/>
      <c r="E75" s="2"/>
      <c r="F75" s="1"/>
      <c r="G75" s="2"/>
      <c r="H75" s="2"/>
      <c r="I75" s="2"/>
      <c r="J75" s="2"/>
      <c r="K75" s="133"/>
      <c r="L75" s="133"/>
      <c r="M75" s="133"/>
      <c r="N75" s="13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">
      <c r="A76" s="1"/>
      <c r="B76" s="1"/>
      <c r="C76" s="2"/>
      <c r="D76" s="2"/>
      <c r="E76" s="2"/>
      <c r="F76" s="1"/>
      <c r="G76" s="2"/>
      <c r="H76" s="2"/>
      <c r="I76" s="2"/>
      <c r="J76" s="2"/>
      <c r="K76" s="133"/>
      <c r="L76" s="133"/>
      <c r="M76" s="133"/>
      <c r="N76" s="134"/>
      <c r="O76" s="4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">
      <c r="A77" s="1"/>
      <c r="B77" s="1"/>
      <c r="C77" s="2"/>
      <c r="D77" s="2"/>
      <c r="E77" s="2"/>
      <c r="F77" s="1"/>
      <c r="G77" s="2"/>
      <c r="H77" s="2"/>
      <c r="I77" s="2"/>
      <c r="J77" s="2"/>
      <c r="K77" s="133"/>
      <c r="L77" s="133"/>
      <c r="M77" s="133"/>
      <c r="N77" s="134"/>
      <c r="O77" s="4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">
      <c r="A78" s="1"/>
      <c r="B78" s="1"/>
      <c r="C78" s="2"/>
      <c r="D78" s="2"/>
      <c r="E78" s="2"/>
      <c r="F78" s="1"/>
      <c r="G78" s="2"/>
      <c r="H78" s="2"/>
      <c r="I78" s="2"/>
      <c r="J78" s="2"/>
      <c r="K78" s="133"/>
      <c r="L78" s="133"/>
      <c r="M78" s="133"/>
      <c r="N78" s="134"/>
      <c r="O78" s="4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">
      <c r="A79" s="1"/>
      <c r="B79" s="1"/>
      <c r="C79" s="2"/>
      <c r="D79" s="2"/>
      <c r="E79" s="2"/>
      <c r="F79" s="1"/>
      <c r="G79" s="2"/>
      <c r="H79" s="2"/>
      <c r="I79" s="2"/>
      <c r="J79" s="2"/>
      <c r="K79" s="133"/>
      <c r="L79" s="133"/>
      <c r="M79" s="133"/>
      <c r="N79" s="134"/>
      <c r="O79" s="4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2">
      <c r="A80" s="1"/>
      <c r="B80" s="1"/>
      <c r="C80" s="2"/>
      <c r="D80" s="2"/>
      <c r="E80" s="2"/>
      <c r="F80" s="1"/>
      <c r="G80" s="2"/>
      <c r="H80" s="2"/>
      <c r="I80" s="2"/>
      <c r="J80" s="2"/>
      <c r="K80" s="133"/>
      <c r="L80" s="133"/>
      <c r="M80" s="133"/>
      <c r="N80" s="134"/>
      <c r="O80" s="4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">
      <c r="A81" s="1"/>
      <c r="B81" s="1"/>
      <c r="C81" s="2"/>
      <c r="D81" s="2"/>
      <c r="E81" s="2"/>
      <c r="F81" s="1"/>
      <c r="G81" s="2"/>
      <c r="H81" s="2"/>
      <c r="I81" s="2"/>
      <c r="J81" s="2"/>
      <c r="K81" s="133"/>
      <c r="L81" s="133"/>
      <c r="M81" s="133"/>
      <c r="N81" s="134"/>
      <c r="O81" s="4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">
      <c r="A82" s="1"/>
      <c r="B82" s="1"/>
      <c r="C82" s="2"/>
      <c r="D82" s="2"/>
      <c r="E82" s="2"/>
      <c r="F82" s="1"/>
      <c r="G82" s="2"/>
      <c r="H82" s="2"/>
      <c r="I82" s="2"/>
      <c r="J82" s="2"/>
      <c r="K82" s="133"/>
      <c r="L82" s="133"/>
      <c r="M82" s="133"/>
      <c r="N82" s="13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">
      <c r="A83" s="1"/>
      <c r="B83" s="1"/>
      <c r="C83" s="2"/>
      <c r="D83" s="2"/>
      <c r="E83" s="2"/>
      <c r="F83" s="1"/>
      <c r="G83" s="2"/>
      <c r="H83" s="2"/>
      <c r="I83" s="2"/>
      <c r="J83" s="2"/>
      <c r="K83" s="133"/>
      <c r="L83" s="133"/>
      <c r="M83" s="133"/>
      <c r="N83" s="13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">
      <c r="A84" s="1"/>
      <c r="B84" s="1"/>
      <c r="C84" s="2"/>
      <c r="D84" s="2"/>
      <c r="E84" s="2"/>
      <c r="F84" s="1"/>
      <c r="G84" s="2"/>
      <c r="H84" s="2"/>
      <c r="I84" s="2"/>
      <c r="J84" s="2"/>
      <c r="K84" s="133"/>
      <c r="L84" s="133"/>
      <c r="M84" s="133"/>
      <c r="N84" s="13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">
      <c r="A85" s="1"/>
      <c r="B85" s="1"/>
      <c r="C85" s="2"/>
      <c r="D85" s="2"/>
      <c r="E85" s="2"/>
      <c r="F85" s="1"/>
      <c r="G85" s="2"/>
      <c r="H85" s="2"/>
      <c r="I85" s="2"/>
      <c r="J85" s="2"/>
      <c r="K85" s="133"/>
      <c r="L85" s="133"/>
      <c r="M85" s="133"/>
      <c r="N85" s="134"/>
      <c r="O85" s="4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">
      <c r="A86" s="1"/>
      <c r="B86" s="1"/>
      <c r="C86" s="2"/>
      <c r="D86" s="2"/>
      <c r="E86" s="2"/>
      <c r="F86" s="1"/>
      <c r="G86" s="2"/>
      <c r="H86" s="2"/>
      <c r="I86" s="2"/>
      <c r="J86" s="2"/>
      <c r="K86" s="133"/>
      <c r="L86" s="133"/>
      <c r="M86" s="133"/>
      <c r="N86" s="134"/>
      <c r="O86" s="4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">
      <c r="A87" s="1"/>
      <c r="B87" s="1"/>
      <c r="C87" s="2"/>
      <c r="D87" s="2"/>
      <c r="E87" s="2"/>
      <c r="F87" s="1"/>
      <c r="G87" s="2"/>
      <c r="H87" s="2"/>
      <c r="I87" s="2"/>
      <c r="J87" s="2"/>
      <c r="K87" s="133"/>
      <c r="L87" s="133"/>
      <c r="M87" s="133"/>
      <c r="N87" s="134"/>
      <c r="O87" s="4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">
      <c r="A88" s="1"/>
      <c r="B88" s="1"/>
      <c r="C88" s="2"/>
      <c r="D88" s="2"/>
      <c r="E88" s="2"/>
      <c r="F88" s="1"/>
      <c r="G88" s="2"/>
      <c r="H88" s="2"/>
      <c r="I88" s="2"/>
      <c r="J88" s="2"/>
      <c r="K88" s="133"/>
      <c r="L88" s="133"/>
      <c r="M88" s="133"/>
      <c r="N88" s="134"/>
      <c r="O88" s="4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">
      <c r="A89" s="1"/>
      <c r="B89" s="1"/>
      <c r="C89" s="2"/>
      <c r="D89" s="2"/>
      <c r="E89" s="2"/>
      <c r="F89" s="1"/>
      <c r="G89" s="2"/>
      <c r="H89" s="2"/>
      <c r="I89" s="2"/>
      <c r="J89" s="2"/>
      <c r="K89" s="133"/>
      <c r="L89" s="133"/>
      <c r="M89" s="133"/>
      <c r="N89" s="134"/>
      <c r="O89" s="4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">
      <c r="A90" s="1"/>
      <c r="B90" s="1"/>
      <c r="C90" s="2"/>
      <c r="D90" s="2"/>
      <c r="E90" s="2"/>
      <c r="F90" s="1"/>
      <c r="G90" s="2"/>
      <c r="H90" s="2"/>
      <c r="I90" s="2"/>
      <c r="J90" s="2"/>
      <c r="K90" s="133"/>
      <c r="L90" s="133"/>
      <c r="M90" s="133"/>
      <c r="N90" s="134"/>
      <c r="O90" s="4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">
      <c r="A91" s="1"/>
      <c r="B91" s="1"/>
      <c r="C91" s="2"/>
      <c r="D91" s="2"/>
      <c r="E91" s="2"/>
      <c r="F91" s="1"/>
      <c r="G91" s="2"/>
      <c r="H91" s="2"/>
      <c r="I91" s="2"/>
      <c r="J91" s="2"/>
      <c r="K91" s="133"/>
      <c r="L91" s="133"/>
      <c r="M91" s="133"/>
      <c r="N91" s="134"/>
      <c r="O91" s="4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">
      <c r="A92" s="1"/>
      <c r="B92" s="1"/>
      <c r="C92" s="2"/>
      <c r="D92" s="2"/>
      <c r="E92" s="2"/>
      <c r="F92" s="1"/>
      <c r="G92" s="2"/>
      <c r="H92" s="2"/>
      <c r="I92" s="2"/>
      <c r="J92" s="2"/>
      <c r="K92" s="133"/>
      <c r="L92" s="133"/>
      <c r="M92" s="133"/>
      <c r="N92" s="134"/>
      <c r="O92" s="4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">
      <c r="A93" s="1"/>
      <c r="B93" s="1"/>
      <c r="C93" s="2"/>
      <c r="D93" s="2"/>
      <c r="E93" s="2"/>
      <c r="F93" s="1"/>
      <c r="G93" s="2"/>
      <c r="H93" s="2"/>
      <c r="I93" s="2"/>
      <c r="J93" s="2"/>
      <c r="K93" s="133"/>
      <c r="L93" s="133"/>
      <c r="M93" s="133"/>
      <c r="N93" s="134"/>
      <c r="O93" s="4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">
      <c r="A94" s="1"/>
      <c r="B94" s="1"/>
      <c r="C94" s="2"/>
      <c r="D94" s="2"/>
      <c r="E94" s="2"/>
      <c r="F94" s="1"/>
      <c r="G94" s="2"/>
      <c r="H94" s="2"/>
      <c r="I94" s="2"/>
      <c r="J94" s="2"/>
      <c r="K94" s="133"/>
      <c r="L94" s="133"/>
      <c r="M94" s="133"/>
      <c r="N94" s="134"/>
      <c r="O94" s="4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">
      <c r="A95" s="1"/>
      <c r="B95" s="1"/>
      <c r="C95" s="2"/>
      <c r="D95" s="2"/>
      <c r="E95" s="2"/>
      <c r="F95" s="1"/>
      <c r="G95" s="2"/>
      <c r="H95" s="2"/>
      <c r="I95" s="2"/>
      <c r="J95" s="2"/>
      <c r="K95" s="133"/>
      <c r="L95" s="133"/>
      <c r="M95" s="133"/>
      <c r="N95" s="134"/>
      <c r="O95" s="4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">
      <c r="A96" s="1"/>
      <c r="B96" s="1"/>
      <c r="C96" s="2"/>
      <c r="D96" s="2"/>
      <c r="E96" s="2"/>
      <c r="F96" s="1"/>
      <c r="G96" s="2"/>
      <c r="H96" s="2"/>
      <c r="I96" s="2"/>
      <c r="J96" s="2"/>
      <c r="K96" s="133"/>
      <c r="L96" s="133"/>
      <c r="M96" s="133"/>
      <c r="N96" s="134"/>
      <c r="O96" s="4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">
      <c r="A97" s="1"/>
      <c r="B97" s="1"/>
      <c r="C97" s="2"/>
      <c r="D97" s="2"/>
      <c r="E97" s="2"/>
      <c r="F97" s="1"/>
      <c r="G97" s="2"/>
      <c r="H97" s="2"/>
      <c r="I97" s="2"/>
      <c r="J97" s="2"/>
      <c r="K97" s="133"/>
      <c r="L97" s="133"/>
      <c r="M97" s="133"/>
      <c r="N97" s="134"/>
      <c r="O97" s="4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">
      <c r="A98" s="1"/>
      <c r="B98" s="1"/>
      <c r="C98" s="2"/>
      <c r="D98" s="2"/>
      <c r="E98" s="2"/>
      <c r="F98" s="1"/>
      <c r="G98" s="2"/>
      <c r="H98" s="2"/>
      <c r="I98" s="2"/>
      <c r="J98" s="2"/>
      <c r="K98" s="133"/>
      <c r="L98" s="133"/>
      <c r="M98" s="133"/>
      <c r="N98" s="134"/>
      <c r="O98" s="4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">
      <c r="A99" s="1"/>
      <c r="B99" s="1"/>
      <c r="C99" s="2"/>
      <c r="D99" s="2"/>
      <c r="E99" s="2"/>
      <c r="F99" s="1"/>
      <c r="G99" s="2"/>
      <c r="H99" s="2"/>
      <c r="I99" s="2"/>
      <c r="J99" s="2"/>
      <c r="K99" s="133"/>
      <c r="L99" s="133"/>
      <c r="M99" s="133"/>
      <c r="N99" s="134"/>
      <c r="O99" s="4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">
      <c r="A100" s="1"/>
      <c r="B100" s="1"/>
      <c r="C100" s="2"/>
      <c r="D100" s="2"/>
      <c r="E100" s="2"/>
      <c r="F100" s="1"/>
      <c r="G100" s="2"/>
      <c r="H100" s="2"/>
      <c r="I100" s="2"/>
      <c r="J100" s="2"/>
      <c r="K100" s="133"/>
      <c r="L100" s="133"/>
      <c r="M100" s="133"/>
      <c r="N100" s="134"/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">
      <c r="A101" s="1"/>
      <c r="B101" s="1"/>
      <c r="C101" s="2"/>
      <c r="D101" s="2"/>
      <c r="E101" s="2"/>
      <c r="F101" s="1"/>
      <c r="G101" s="2"/>
      <c r="H101" s="2"/>
      <c r="I101" s="2"/>
      <c r="J101" s="2"/>
      <c r="K101" s="133"/>
      <c r="L101" s="133"/>
      <c r="M101" s="133"/>
      <c r="N101" s="134"/>
      <c r="O101" s="4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">
      <c r="A102" s="1"/>
      <c r="B102" s="1"/>
      <c r="C102" s="2"/>
      <c r="D102" s="2"/>
      <c r="E102" s="2"/>
      <c r="F102" s="1"/>
      <c r="G102" s="2"/>
      <c r="H102" s="2"/>
      <c r="I102" s="2"/>
      <c r="J102" s="2"/>
      <c r="K102" s="133"/>
      <c r="L102" s="133"/>
      <c r="M102" s="133"/>
      <c r="N102" s="134"/>
      <c r="O102" s="4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">
      <c r="A103" s="1"/>
      <c r="B103" s="1"/>
      <c r="C103" s="2"/>
      <c r="D103" s="2"/>
      <c r="E103" s="2"/>
      <c r="F103" s="1"/>
      <c r="G103" s="2"/>
      <c r="H103" s="2"/>
      <c r="I103" s="2"/>
      <c r="J103" s="2"/>
      <c r="K103" s="133"/>
      <c r="L103" s="133"/>
      <c r="M103" s="133"/>
      <c r="N103" s="134"/>
      <c r="O103" s="4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">
      <c r="A104" s="1"/>
      <c r="B104" s="1"/>
      <c r="C104" s="2"/>
      <c r="D104" s="2"/>
      <c r="E104" s="2"/>
      <c r="F104" s="1"/>
      <c r="G104" s="2"/>
      <c r="H104" s="2"/>
      <c r="I104" s="2"/>
      <c r="J104" s="2"/>
      <c r="K104" s="133"/>
      <c r="L104" s="133"/>
      <c r="M104" s="133"/>
      <c r="N104" s="134"/>
      <c r="O104" s="4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">
      <c r="A105" s="1"/>
      <c r="B105" s="1"/>
      <c r="C105" s="2"/>
      <c r="D105" s="2"/>
      <c r="E105" s="2"/>
      <c r="F105" s="1"/>
      <c r="G105" s="2"/>
      <c r="H105" s="2"/>
      <c r="I105" s="2"/>
      <c r="J105" s="2"/>
      <c r="K105" s="133"/>
      <c r="L105" s="133"/>
      <c r="M105" s="133"/>
      <c r="N105" s="134"/>
      <c r="O105" s="4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">
      <c r="A106" s="1"/>
      <c r="B106" s="1"/>
      <c r="C106" s="2"/>
      <c r="D106" s="2"/>
      <c r="E106" s="2"/>
      <c r="F106" s="1"/>
      <c r="G106" s="2"/>
      <c r="H106" s="2"/>
      <c r="I106" s="2"/>
      <c r="J106" s="2"/>
      <c r="K106" s="133"/>
      <c r="L106" s="133"/>
      <c r="M106" s="133"/>
      <c r="N106" s="134"/>
      <c r="O106" s="4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">
      <c r="A107" s="1"/>
      <c r="B107" s="1"/>
      <c r="C107" s="2"/>
      <c r="D107" s="2"/>
      <c r="E107" s="2"/>
      <c r="F107" s="1"/>
      <c r="G107" s="2"/>
      <c r="H107" s="2"/>
      <c r="I107" s="2"/>
      <c r="J107" s="2"/>
      <c r="K107" s="133"/>
      <c r="L107" s="133"/>
      <c r="M107" s="133"/>
      <c r="N107" s="134"/>
      <c r="O107" s="4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">
      <c r="A108" s="1"/>
      <c r="B108" s="1"/>
      <c r="C108" s="2"/>
      <c r="D108" s="2"/>
      <c r="E108" s="2"/>
      <c r="F108" s="1"/>
      <c r="G108" s="2"/>
      <c r="H108" s="2"/>
      <c r="I108" s="2"/>
      <c r="J108" s="2"/>
      <c r="K108" s="133"/>
      <c r="L108" s="133"/>
      <c r="M108" s="133"/>
      <c r="N108" s="134"/>
      <c r="O108" s="4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">
      <c r="A109" s="1"/>
      <c r="B109" s="1"/>
      <c r="C109" s="2"/>
      <c r="D109" s="2"/>
      <c r="E109" s="2"/>
      <c r="F109" s="1"/>
      <c r="G109" s="2"/>
      <c r="H109" s="2"/>
      <c r="I109" s="2"/>
      <c r="J109" s="2"/>
      <c r="K109" s="133"/>
      <c r="L109" s="133"/>
      <c r="M109" s="133"/>
      <c r="N109" s="134"/>
      <c r="O109" s="4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">
      <c r="A110" s="1"/>
      <c r="B110" s="1"/>
      <c r="C110" s="2"/>
      <c r="D110" s="2"/>
      <c r="E110" s="2"/>
      <c r="F110" s="1"/>
      <c r="G110" s="2"/>
      <c r="H110" s="2"/>
      <c r="I110" s="2"/>
      <c r="J110" s="2"/>
      <c r="K110" s="133"/>
      <c r="L110" s="133"/>
      <c r="M110" s="133"/>
      <c r="N110" s="134"/>
      <c r="O110" s="4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">
      <c r="A111" s="1"/>
      <c r="B111" s="1"/>
      <c r="C111" s="2"/>
      <c r="D111" s="2"/>
      <c r="E111" s="2"/>
      <c r="F111" s="1"/>
      <c r="G111" s="2"/>
      <c r="H111" s="2"/>
      <c r="I111" s="2"/>
      <c r="J111" s="2"/>
      <c r="K111" s="2"/>
      <c r="L111" s="2"/>
      <c r="M111" s="2"/>
      <c r="N111" s="134"/>
      <c r="O111" s="4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">
      <c r="A112" s="1"/>
      <c r="B112" s="1"/>
      <c r="C112" s="2"/>
      <c r="D112" s="2"/>
      <c r="E112" s="2"/>
      <c r="F112" s="1"/>
      <c r="G112" s="2"/>
      <c r="H112" s="2"/>
      <c r="I112" s="2"/>
      <c r="J112" s="2"/>
      <c r="K112" s="2"/>
      <c r="L112" s="2"/>
      <c r="M112" s="2"/>
      <c r="N112" s="134"/>
      <c r="O112" s="4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">
      <c r="A113" s="1"/>
      <c r="B113" s="1"/>
      <c r="C113" s="2"/>
      <c r="D113" s="2"/>
      <c r="E113" s="2"/>
      <c r="F113" s="1"/>
      <c r="G113" s="2"/>
      <c r="H113" s="2"/>
      <c r="I113" s="2"/>
      <c r="J113" s="2"/>
      <c r="K113" s="2"/>
      <c r="L113" s="2"/>
      <c r="M113" s="2"/>
      <c r="N113" s="134"/>
      <c r="O113" s="4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">
      <c r="A114" s="1"/>
      <c r="B114" s="1"/>
      <c r="C114" s="2"/>
      <c r="D114" s="2"/>
      <c r="E114" s="2"/>
      <c r="F114" s="1"/>
      <c r="G114" s="2"/>
      <c r="H114" s="2"/>
      <c r="I114" s="2"/>
      <c r="J114" s="2"/>
      <c r="K114" s="2"/>
      <c r="L114" s="2"/>
      <c r="M114" s="2"/>
      <c r="N114" s="134"/>
      <c r="O114" s="4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">
      <c r="A115" s="1"/>
      <c r="B115" s="1"/>
      <c r="C115" s="2"/>
      <c r="D115" s="2"/>
      <c r="E115" s="2"/>
      <c r="F115" s="1"/>
      <c r="G115" s="2"/>
      <c r="H115" s="2"/>
      <c r="I115" s="2"/>
      <c r="J115" s="2"/>
      <c r="K115" s="2"/>
      <c r="L115" s="2"/>
      <c r="M115" s="2"/>
      <c r="N115" s="134"/>
      <c r="O115" s="4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">
      <c r="A116" s="1"/>
      <c r="B116" s="1"/>
      <c r="C116" s="2"/>
      <c r="D116" s="2"/>
      <c r="E116" s="2"/>
      <c r="F116" s="1"/>
      <c r="G116" s="2"/>
      <c r="H116" s="2"/>
      <c r="I116" s="2"/>
      <c r="J116" s="2"/>
      <c r="K116" s="2"/>
      <c r="L116" s="2"/>
      <c r="M116" s="2"/>
      <c r="N116" s="134"/>
      <c r="O116" s="4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">
      <c r="A117" s="1"/>
      <c r="B117" s="1"/>
      <c r="C117" s="2"/>
      <c r="D117" s="2"/>
      <c r="E117" s="2"/>
      <c r="F117" s="1"/>
      <c r="G117" s="2"/>
      <c r="H117" s="2"/>
      <c r="I117" s="2"/>
      <c r="J117" s="2"/>
      <c r="K117" s="2"/>
      <c r="L117" s="2"/>
      <c r="M117" s="2"/>
      <c r="N117" s="134"/>
      <c r="O117" s="4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">
      <c r="A118" s="1"/>
      <c r="B118" s="1"/>
      <c r="C118" s="2"/>
      <c r="D118" s="2"/>
      <c r="E118" s="2"/>
      <c r="F118" s="1"/>
      <c r="G118" s="2"/>
      <c r="H118" s="2"/>
      <c r="I118" s="2"/>
      <c r="J118" s="2"/>
      <c r="K118" s="2"/>
      <c r="L118" s="2"/>
      <c r="M118" s="2"/>
      <c r="N118" s="134"/>
      <c r="O118" s="4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">
      <c r="A119" s="1"/>
      <c r="B119" s="1"/>
      <c r="C119" s="2"/>
      <c r="D119" s="2"/>
      <c r="E119" s="2"/>
      <c r="F119" s="1"/>
      <c r="G119" s="2"/>
      <c r="H119" s="2"/>
      <c r="I119" s="2"/>
      <c r="J119" s="2"/>
      <c r="K119" s="2"/>
      <c r="L119" s="2"/>
      <c r="M119" s="2"/>
      <c r="N119" s="134"/>
      <c r="O119" s="4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">
      <c r="A120" s="1"/>
      <c r="B120" s="1"/>
      <c r="C120" s="2"/>
      <c r="D120" s="2"/>
      <c r="E120" s="2"/>
      <c r="F120" s="1"/>
      <c r="G120" s="2"/>
      <c r="H120" s="2"/>
      <c r="I120" s="2"/>
      <c r="J120" s="2"/>
      <c r="K120" s="2"/>
      <c r="L120" s="2"/>
      <c r="M120" s="2"/>
      <c r="N120" s="13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">
      <c r="A121" s="1"/>
      <c r="B121" s="1"/>
      <c r="C121" s="2"/>
      <c r="D121" s="2"/>
      <c r="E121" s="2"/>
      <c r="F121" s="1"/>
      <c r="G121" s="2"/>
      <c r="H121" s="2"/>
      <c r="I121" s="2"/>
      <c r="J121" s="2"/>
      <c r="K121" s="2"/>
      <c r="L121" s="2"/>
      <c r="M121" s="2"/>
      <c r="N121" s="13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">
      <c r="A122" s="1"/>
      <c r="B122" s="1"/>
      <c r="C122" s="2"/>
      <c r="D122" s="2"/>
      <c r="E122" s="2"/>
      <c r="F122" s="1"/>
      <c r="G122" s="2"/>
      <c r="H122" s="2"/>
      <c r="I122" s="2"/>
      <c r="J122" s="2"/>
      <c r="K122" s="2"/>
      <c r="L122" s="2"/>
      <c r="M122" s="2"/>
      <c r="N122" s="134"/>
      <c r="O122" s="4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">
      <c r="A123" s="1"/>
      <c r="B123" s="1"/>
      <c r="C123" s="2"/>
      <c r="D123" s="2"/>
      <c r="E123" s="2"/>
      <c r="F123" s="1"/>
      <c r="G123" s="2"/>
      <c r="H123" s="2"/>
      <c r="I123" s="2"/>
      <c r="J123" s="2"/>
      <c r="K123" s="2"/>
      <c r="L123" s="2"/>
      <c r="M123" s="2"/>
      <c r="N123" s="134"/>
      <c r="O123" s="4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">
      <c r="A124" s="1"/>
      <c r="B124" s="1"/>
      <c r="C124" s="2"/>
      <c r="D124" s="2"/>
      <c r="E124" s="2"/>
      <c r="F124" s="1"/>
      <c r="G124" s="2"/>
      <c r="H124" s="2"/>
      <c r="I124" s="2"/>
      <c r="J124" s="2"/>
      <c r="K124" s="2"/>
      <c r="L124" s="2"/>
      <c r="M124" s="2"/>
      <c r="N124" s="134"/>
      <c r="O124" s="4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">
      <c r="A125" s="1"/>
      <c r="B125" s="1"/>
      <c r="C125" s="2"/>
      <c r="D125" s="2"/>
      <c r="E125" s="2"/>
      <c r="F125" s="1"/>
      <c r="G125" s="2"/>
      <c r="H125" s="2"/>
      <c r="I125" s="2"/>
      <c r="J125" s="2"/>
      <c r="K125" s="2"/>
      <c r="L125" s="2"/>
      <c r="M125" s="2"/>
      <c r="N125" s="134"/>
      <c r="O125" s="4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">
      <c r="A126" s="1"/>
      <c r="B126" s="1"/>
      <c r="C126" s="2"/>
      <c r="D126" s="2"/>
      <c r="E126" s="2"/>
      <c r="F126" s="1"/>
      <c r="G126" s="2"/>
      <c r="H126" s="2"/>
      <c r="I126" s="2"/>
      <c r="J126" s="2"/>
      <c r="K126" s="2"/>
      <c r="L126" s="2"/>
      <c r="M126" s="2"/>
      <c r="N126" s="134"/>
      <c r="O126" s="4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">
      <c r="A127" s="1"/>
      <c r="B127" s="1"/>
      <c r="C127" s="2"/>
      <c r="D127" s="2"/>
      <c r="E127" s="2"/>
      <c r="F127" s="1"/>
      <c r="G127" s="2"/>
      <c r="H127" s="2"/>
      <c r="I127" s="2"/>
      <c r="J127" s="2"/>
      <c r="K127" s="2"/>
      <c r="L127" s="2"/>
      <c r="M127" s="2"/>
      <c r="N127" s="134"/>
      <c r="O127" s="4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">
      <c r="A128" s="1"/>
      <c r="B128" s="1"/>
      <c r="C128" s="2"/>
      <c r="D128" s="2"/>
      <c r="E128" s="2"/>
      <c r="F128" s="1"/>
      <c r="G128" s="2"/>
      <c r="H128" s="2"/>
      <c r="I128" s="2"/>
      <c r="J128" s="2"/>
      <c r="K128" s="2"/>
      <c r="L128" s="2"/>
      <c r="M128" s="2"/>
      <c r="N128" s="134"/>
      <c r="O128" s="4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">
      <c r="A129" s="1"/>
      <c r="B129" s="1"/>
      <c r="C129" s="2"/>
      <c r="D129" s="2"/>
      <c r="E129" s="2"/>
      <c r="F129" s="1"/>
      <c r="G129" s="2"/>
      <c r="H129" s="2"/>
      <c r="I129" s="2"/>
      <c r="J129" s="2"/>
      <c r="K129" s="2"/>
      <c r="L129" s="2"/>
      <c r="M129" s="2"/>
      <c r="N129" s="134"/>
      <c r="O129" s="4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">
      <c r="A130" s="1"/>
      <c r="B130" s="1"/>
      <c r="C130" s="2"/>
      <c r="D130" s="2"/>
      <c r="E130" s="2"/>
      <c r="F130" s="1"/>
      <c r="G130" s="2"/>
      <c r="H130" s="2"/>
      <c r="I130" s="2"/>
      <c r="J130" s="2"/>
      <c r="K130" s="2"/>
      <c r="L130" s="2"/>
      <c r="M130" s="2"/>
      <c r="N130" s="134"/>
      <c r="O130" s="4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">
      <c r="A131" s="1"/>
      <c r="B131" s="1"/>
      <c r="C131" s="2"/>
      <c r="D131" s="2"/>
      <c r="E131" s="2"/>
      <c r="F131" s="1"/>
      <c r="G131" s="2"/>
      <c r="H131" s="2"/>
      <c r="I131" s="2"/>
      <c r="J131" s="2"/>
      <c r="K131" s="2"/>
      <c r="L131" s="2"/>
      <c r="M131" s="2"/>
      <c r="N131" s="134"/>
      <c r="O131" s="4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">
      <c r="A132" s="1"/>
      <c r="B132" s="1"/>
      <c r="C132" s="2"/>
      <c r="D132" s="2"/>
      <c r="E132" s="2"/>
      <c r="F132" s="1"/>
      <c r="G132" s="2"/>
      <c r="H132" s="2"/>
      <c r="I132" s="2"/>
      <c r="J132" s="2"/>
      <c r="K132" s="2"/>
      <c r="L132" s="2"/>
      <c r="M132" s="2"/>
      <c r="N132" s="134"/>
      <c r="O132" s="4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">
      <c r="A133" s="1"/>
      <c r="B133" s="1"/>
      <c r="C133" s="2"/>
      <c r="D133" s="2"/>
      <c r="E133" s="2"/>
      <c r="F133" s="1"/>
      <c r="G133" s="2"/>
      <c r="H133" s="2"/>
      <c r="I133" s="2"/>
      <c r="J133" s="2"/>
      <c r="K133" s="2"/>
      <c r="L133" s="2"/>
      <c r="M133" s="2"/>
      <c r="N133" s="134"/>
      <c r="O133" s="4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2">
      <c r="A134" s="1"/>
      <c r="B134" s="1"/>
      <c r="C134" s="2"/>
      <c r="D134" s="2"/>
      <c r="E134" s="2"/>
      <c r="F134" s="1"/>
      <c r="G134" s="2"/>
      <c r="H134" s="2"/>
      <c r="I134" s="2"/>
      <c r="J134" s="2"/>
      <c r="K134" s="2"/>
      <c r="L134" s="2"/>
      <c r="M134" s="2"/>
      <c r="N134" s="134"/>
      <c r="O134" s="4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2">
      <c r="A135" s="1"/>
      <c r="B135" s="1"/>
      <c r="C135" s="2"/>
      <c r="D135" s="2"/>
      <c r="E135" s="2"/>
      <c r="F135" s="1"/>
      <c r="G135" s="2"/>
      <c r="H135" s="2"/>
      <c r="I135" s="2"/>
      <c r="J135" s="2"/>
      <c r="K135" s="2"/>
      <c r="L135" s="2"/>
      <c r="M135" s="2"/>
      <c r="N135" s="134"/>
      <c r="O135" s="4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2">
      <c r="A136" s="1"/>
      <c r="B136" s="1"/>
      <c r="C136" s="2"/>
      <c r="D136" s="2"/>
      <c r="E136" s="2"/>
      <c r="F136" s="1"/>
      <c r="G136" s="2"/>
      <c r="H136" s="2"/>
      <c r="I136" s="2"/>
      <c r="J136" s="2"/>
      <c r="K136" s="2"/>
      <c r="L136" s="2"/>
      <c r="M136" s="2"/>
      <c r="N136" s="134"/>
      <c r="O136" s="4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2">
      <c r="A137" s="1"/>
      <c r="B137" s="1"/>
      <c r="C137" s="2"/>
      <c r="D137" s="2"/>
      <c r="E137" s="2"/>
      <c r="F137" s="1"/>
      <c r="G137" s="2"/>
      <c r="H137" s="2"/>
      <c r="I137" s="2"/>
      <c r="J137" s="2"/>
      <c r="K137" s="2"/>
      <c r="L137" s="2"/>
      <c r="M137" s="2"/>
      <c r="N137" s="134"/>
      <c r="O137" s="4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2">
      <c r="A138" s="1"/>
      <c r="B138" s="1"/>
      <c r="C138" s="2"/>
      <c r="D138" s="2"/>
      <c r="E138" s="2"/>
      <c r="F138" s="1"/>
      <c r="G138" s="2"/>
      <c r="H138" s="2"/>
      <c r="I138" s="2"/>
      <c r="J138" s="2"/>
      <c r="K138" s="2"/>
      <c r="L138" s="2"/>
      <c r="M138" s="2"/>
      <c r="N138" s="134"/>
      <c r="O138" s="4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2">
      <c r="A139" s="1"/>
      <c r="B139" s="1"/>
      <c r="C139" s="2"/>
      <c r="D139" s="2"/>
      <c r="E139" s="2"/>
      <c r="F139" s="1"/>
      <c r="G139" s="2"/>
      <c r="H139" s="2"/>
      <c r="I139" s="2"/>
      <c r="J139" s="2"/>
      <c r="K139" s="2"/>
      <c r="L139" s="2"/>
      <c r="M139" s="2"/>
      <c r="N139" s="134"/>
      <c r="O139" s="4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2">
      <c r="A140" s="1"/>
      <c r="B140" s="1"/>
      <c r="C140" s="2"/>
      <c r="D140" s="2"/>
      <c r="E140" s="2"/>
      <c r="F140" s="1"/>
      <c r="G140" s="2"/>
      <c r="H140" s="2"/>
      <c r="I140" s="2"/>
      <c r="J140" s="2"/>
      <c r="K140" s="2"/>
      <c r="L140" s="2"/>
      <c r="M140" s="2"/>
      <c r="N140" s="134"/>
      <c r="O140" s="4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2">
      <c r="A141" s="1"/>
      <c r="B141" s="1"/>
      <c r="C141" s="2"/>
      <c r="D141" s="2"/>
      <c r="E141" s="2"/>
      <c r="F141" s="1"/>
      <c r="G141" s="2"/>
      <c r="H141" s="2"/>
      <c r="I141" s="2"/>
      <c r="J141" s="2"/>
      <c r="K141" s="2"/>
      <c r="L141" s="2"/>
      <c r="M141" s="2"/>
      <c r="N141" s="134"/>
      <c r="O141" s="4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2">
      <c r="A142" s="1"/>
      <c r="B142" s="1"/>
      <c r="C142" s="2"/>
      <c r="D142" s="2"/>
      <c r="E142" s="2"/>
      <c r="F142" s="1"/>
      <c r="G142" s="2"/>
      <c r="H142" s="2"/>
      <c r="I142" s="2"/>
      <c r="J142" s="2"/>
      <c r="K142" s="2"/>
      <c r="L142" s="2"/>
      <c r="M142" s="2"/>
      <c r="N142" s="134"/>
      <c r="O142" s="4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2">
      <c r="A143" s="1"/>
      <c r="B143" s="1"/>
      <c r="C143" s="2"/>
      <c r="D143" s="2"/>
      <c r="E143" s="2"/>
      <c r="F143" s="1"/>
      <c r="G143" s="2"/>
      <c r="H143" s="2"/>
      <c r="I143" s="2"/>
      <c r="J143" s="2"/>
      <c r="K143" s="2"/>
      <c r="L143" s="2"/>
      <c r="M143" s="2"/>
      <c r="N143" s="134"/>
      <c r="O143" s="4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2">
      <c r="A144" s="1"/>
      <c r="B144" s="1"/>
      <c r="C144" s="2"/>
      <c r="D144" s="2"/>
      <c r="E144" s="2"/>
      <c r="F144" s="1"/>
      <c r="G144" s="2"/>
      <c r="H144" s="2"/>
      <c r="I144" s="2"/>
      <c r="J144" s="2"/>
      <c r="K144" s="2"/>
      <c r="L144" s="2"/>
      <c r="M144" s="2"/>
      <c r="N144" s="134"/>
      <c r="O144" s="4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2">
      <c r="A145" s="1"/>
      <c r="B145" s="1"/>
      <c r="C145" s="2"/>
      <c r="D145" s="2"/>
      <c r="E145" s="2"/>
      <c r="F145" s="1"/>
      <c r="G145" s="2"/>
      <c r="H145" s="2"/>
      <c r="I145" s="2"/>
      <c r="J145" s="2"/>
      <c r="K145" s="2"/>
      <c r="L145" s="2"/>
      <c r="M145" s="2"/>
      <c r="N145" s="134"/>
      <c r="O145" s="4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2">
      <c r="A146" s="1"/>
      <c r="B146" s="1"/>
      <c r="C146" s="2"/>
      <c r="D146" s="2"/>
      <c r="E146" s="2"/>
      <c r="F146" s="1"/>
      <c r="G146" s="2"/>
      <c r="H146" s="2"/>
      <c r="I146" s="2"/>
      <c r="J146" s="2"/>
      <c r="K146" s="2"/>
      <c r="L146" s="2"/>
      <c r="M146" s="2"/>
      <c r="N146" s="134"/>
      <c r="O146" s="4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2">
      <c r="A147" s="1"/>
      <c r="B147" s="1"/>
      <c r="C147" s="2"/>
      <c r="D147" s="2"/>
      <c r="E147" s="2"/>
      <c r="F147" s="1"/>
      <c r="G147" s="2"/>
      <c r="H147" s="2"/>
      <c r="I147" s="2"/>
      <c r="J147" s="2"/>
      <c r="K147" s="2"/>
      <c r="L147" s="2"/>
      <c r="M147" s="2"/>
      <c r="N147" s="13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2">
      <c r="A148" s="1"/>
      <c r="B148" s="1"/>
      <c r="C148" s="2"/>
      <c r="D148" s="2"/>
      <c r="E148" s="2"/>
      <c r="F148" s="1"/>
      <c r="G148" s="2"/>
      <c r="H148" s="2"/>
      <c r="I148" s="2"/>
      <c r="J148" s="2"/>
      <c r="K148" s="2"/>
      <c r="L148" s="2"/>
      <c r="M148" s="2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2">
      <c r="A149" s="1"/>
      <c r="B149" s="1"/>
      <c r="C149" s="2"/>
      <c r="D149" s="2"/>
      <c r="E149" s="2"/>
      <c r="F149" s="1"/>
      <c r="G149" s="2"/>
      <c r="H149" s="2"/>
      <c r="I149" s="2"/>
      <c r="J149" s="2"/>
      <c r="K149" s="2"/>
      <c r="L149" s="2"/>
      <c r="M149" s="2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2">
      <c r="A150" s="1"/>
      <c r="B150" s="1"/>
      <c r="C150" s="2"/>
      <c r="D150" s="2"/>
      <c r="E150" s="2"/>
      <c r="F150" s="1"/>
      <c r="G150" s="2"/>
      <c r="H150" s="2"/>
      <c r="I150" s="2"/>
      <c r="J150" s="2"/>
      <c r="K150" s="2"/>
      <c r="L150" s="2"/>
      <c r="M150" s="2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2">
      <c r="A151" s="1"/>
      <c r="B151" s="1"/>
      <c r="C151" s="2"/>
      <c r="D151" s="2"/>
      <c r="E151" s="2"/>
      <c r="F151" s="1"/>
      <c r="G151" s="2"/>
      <c r="H151" s="2"/>
      <c r="I151" s="2"/>
      <c r="J151" s="2"/>
      <c r="K151" s="2"/>
      <c r="L151" s="2"/>
      <c r="M151" s="2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2">
      <c r="A152" s="1"/>
      <c r="B152" s="1"/>
      <c r="C152" s="2"/>
      <c r="D152" s="2"/>
      <c r="E152" s="2"/>
      <c r="F152" s="1"/>
      <c r="G152" s="2"/>
      <c r="H152" s="2"/>
      <c r="I152" s="2"/>
      <c r="J152" s="2"/>
      <c r="K152" s="2"/>
      <c r="L152" s="2"/>
      <c r="M152" s="2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2">
      <c r="A153" s="1"/>
      <c r="B153" s="1"/>
      <c r="C153" s="2"/>
      <c r="D153" s="2"/>
      <c r="E153" s="2"/>
      <c r="F153" s="1"/>
      <c r="G153" s="2"/>
      <c r="H153" s="2"/>
      <c r="I153" s="2"/>
      <c r="J153" s="2"/>
      <c r="K153" s="2"/>
      <c r="L153" s="2"/>
      <c r="M153" s="2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2">
      <c r="A154" s="1"/>
      <c r="B154" s="1"/>
      <c r="C154" s="2"/>
      <c r="D154" s="2"/>
      <c r="E154" s="2"/>
      <c r="F154" s="1"/>
      <c r="G154" s="2"/>
      <c r="H154" s="2"/>
      <c r="I154" s="2"/>
      <c r="J154" s="2"/>
      <c r="K154" s="2"/>
      <c r="L154" s="2"/>
      <c r="M154" s="2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2">
      <c r="A155" s="1"/>
      <c r="B155" s="1"/>
      <c r="C155" s="2"/>
      <c r="D155" s="2"/>
      <c r="E155" s="2"/>
      <c r="F155" s="1"/>
      <c r="G155" s="2"/>
      <c r="H155" s="2"/>
      <c r="I155" s="2"/>
      <c r="J155" s="2"/>
      <c r="K155" s="2"/>
      <c r="L155" s="2"/>
      <c r="M155" s="2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2">
      <c r="A156" s="1"/>
      <c r="B156" s="1"/>
      <c r="C156" s="2"/>
      <c r="D156" s="2"/>
      <c r="E156" s="2"/>
      <c r="F156" s="1"/>
      <c r="G156" s="2"/>
      <c r="H156" s="2"/>
      <c r="I156" s="2"/>
      <c r="J156" s="2"/>
      <c r="K156" s="2"/>
      <c r="L156" s="2"/>
      <c r="M156" s="2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2">
      <c r="A157" s="1"/>
      <c r="B157" s="1"/>
      <c r="C157" s="2"/>
      <c r="D157" s="2"/>
      <c r="E157" s="2"/>
      <c r="F157" s="1"/>
      <c r="G157" s="2"/>
      <c r="H157" s="2"/>
      <c r="I157" s="2"/>
      <c r="J157" s="2"/>
      <c r="K157" s="2"/>
      <c r="L157" s="2"/>
      <c r="M157" s="2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2">
      <c r="A158" s="1"/>
      <c r="B158" s="1"/>
      <c r="C158" s="2"/>
      <c r="D158" s="2"/>
      <c r="E158" s="2"/>
      <c r="F158" s="1"/>
      <c r="G158" s="2"/>
      <c r="H158" s="2"/>
      <c r="I158" s="2"/>
      <c r="J158" s="2"/>
      <c r="K158" s="2"/>
      <c r="L158" s="2"/>
      <c r="M158" s="2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2">
      <c r="A159" s="1"/>
      <c r="B159" s="1"/>
      <c r="C159" s="2"/>
      <c r="D159" s="2"/>
      <c r="E159" s="2"/>
      <c r="F159" s="1"/>
      <c r="G159" s="2"/>
      <c r="H159" s="2"/>
      <c r="I159" s="2"/>
      <c r="J159" s="2"/>
      <c r="K159" s="2"/>
      <c r="L159" s="2"/>
      <c r="M159" s="2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2">
      <c r="A160" s="1"/>
      <c r="B160" s="1"/>
      <c r="C160" s="2"/>
      <c r="D160" s="2"/>
      <c r="E160" s="2"/>
      <c r="F160" s="1"/>
      <c r="G160" s="2"/>
      <c r="H160" s="2"/>
      <c r="I160" s="2"/>
      <c r="J160" s="2"/>
      <c r="K160" s="2"/>
      <c r="L160" s="2"/>
      <c r="M160" s="2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2">
      <c r="A161" s="1"/>
      <c r="B161" s="1"/>
      <c r="C161" s="2"/>
      <c r="D161" s="2"/>
      <c r="E161" s="2"/>
      <c r="F161" s="1"/>
      <c r="G161" s="2"/>
      <c r="H161" s="2"/>
      <c r="I161" s="2"/>
      <c r="J161" s="2"/>
      <c r="K161" s="2"/>
      <c r="L161" s="2"/>
      <c r="M161" s="2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2">
      <c r="A162" s="1"/>
      <c r="B162" s="1"/>
      <c r="C162" s="2"/>
      <c r="D162" s="2"/>
      <c r="E162" s="2"/>
      <c r="F162" s="1"/>
      <c r="G162" s="2"/>
      <c r="H162" s="2"/>
      <c r="I162" s="2"/>
      <c r="J162" s="2"/>
      <c r="K162" s="2"/>
      <c r="L162" s="2"/>
      <c r="M162" s="2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2">
      <c r="A163" s="1"/>
      <c r="B163" s="1"/>
      <c r="C163" s="2"/>
      <c r="D163" s="2"/>
      <c r="E163" s="2"/>
      <c r="F163" s="1"/>
      <c r="G163" s="2"/>
      <c r="H163" s="2"/>
      <c r="I163" s="2"/>
      <c r="J163" s="2"/>
      <c r="K163" s="2"/>
      <c r="L163" s="2"/>
      <c r="M163" s="2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2">
      <c r="A164" s="1"/>
      <c r="B164" s="1"/>
      <c r="C164" s="2"/>
      <c r="D164" s="2"/>
      <c r="E164" s="2"/>
      <c r="F164" s="1"/>
      <c r="G164" s="2"/>
      <c r="H164" s="2"/>
      <c r="I164" s="2"/>
      <c r="J164" s="2"/>
      <c r="K164" s="2"/>
      <c r="L164" s="2"/>
      <c r="M164" s="2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2">
      <c r="A165" s="1"/>
      <c r="B165" s="1"/>
      <c r="C165" s="2"/>
      <c r="D165" s="2"/>
      <c r="E165" s="2"/>
      <c r="F165" s="1"/>
      <c r="G165" s="2"/>
      <c r="H165" s="2"/>
      <c r="I165" s="2"/>
      <c r="J165" s="2"/>
      <c r="K165" s="2"/>
      <c r="L165" s="2"/>
      <c r="M165" s="2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2">
      <c r="A166" s="1"/>
      <c r="B166" s="1"/>
      <c r="C166" s="2"/>
      <c r="D166" s="2"/>
      <c r="E166" s="2"/>
      <c r="F166" s="1"/>
      <c r="G166" s="2"/>
      <c r="H166" s="2"/>
      <c r="I166" s="2"/>
      <c r="J166" s="2"/>
      <c r="K166" s="2"/>
      <c r="L166" s="2"/>
      <c r="M166" s="2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2">
      <c r="A167" s="1"/>
      <c r="B167" s="1"/>
      <c r="C167" s="2"/>
      <c r="D167" s="2"/>
      <c r="E167" s="2"/>
      <c r="F167" s="1"/>
      <c r="G167" s="2"/>
      <c r="H167" s="2"/>
      <c r="I167" s="2"/>
      <c r="J167" s="2"/>
      <c r="K167" s="2"/>
      <c r="L167" s="2"/>
      <c r="M167" s="2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2">
      <c r="A168" s="1"/>
      <c r="B168" s="1"/>
      <c r="C168" s="2"/>
      <c r="D168" s="2"/>
      <c r="E168" s="2"/>
      <c r="F168" s="1"/>
      <c r="G168" s="2"/>
      <c r="H168" s="2"/>
      <c r="I168" s="2"/>
      <c r="J168" s="2"/>
      <c r="K168" s="2"/>
      <c r="L168" s="2"/>
      <c r="M168" s="2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2">
      <c r="A169" s="1"/>
      <c r="B169" s="1"/>
      <c r="C169" s="2"/>
      <c r="D169" s="2"/>
      <c r="E169" s="2"/>
      <c r="F169" s="1"/>
      <c r="G169" s="2"/>
      <c r="H169" s="2"/>
      <c r="I169" s="2"/>
      <c r="J169" s="2"/>
      <c r="K169" s="2"/>
      <c r="L169" s="2"/>
      <c r="M169" s="2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2">
      <c r="A170" s="1"/>
      <c r="B170" s="1"/>
      <c r="C170" s="2"/>
      <c r="D170" s="2"/>
      <c r="E170" s="2"/>
      <c r="F170" s="1"/>
      <c r="G170" s="2"/>
      <c r="H170" s="2"/>
      <c r="I170" s="2"/>
      <c r="J170" s="2"/>
      <c r="K170" s="2"/>
      <c r="L170" s="2"/>
      <c r="M170" s="2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2">
      <c r="A171" s="1"/>
      <c r="B171" s="1"/>
      <c r="C171" s="2"/>
      <c r="D171" s="2"/>
      <c r="E171" s="2"/>
      <c r="F171" s="1"/>
      <c r="G171" s="2"/>
      <c r="H171" s="2"/>
      <c r="I171" s="2"/>
      <c r="J171" s="2"/>
      <c r="K171" s="2"/>
      <c r="L171" s="2"/>
      <c r="M171" s="2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2">
      <c r="A172" s="1"/>
      <c r="B172" s="1"/>
      <c r="C172" s="2"/>
      <c r="D172" s="2"/>
      <c r="E172" s="2"/>
      <c r="F172" s="1"/>
      <c r="G172" s="2"/>
      <c r="H172" s="2"/>
      <c r="I172" s="2"/>
      <c r="J172" s="2"/>
      <c r="K172" s="2"/>
      <c r="L172" s="2"/>
      <c r="M172" s="2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2">
      <c r="A173" s="1"/>
      <c r="B173" s="1"/>
      <c r="C173" s="2"/>
      <c r="D173" s="2"/>
      <c r="E173" s="2"/>
      <c r="F173" s="1"/>
      <c r="G173" s="2"/>
      <c r="H173" s="2"/>
      <c r="I173" s="2"/>
      <c r="J173" s="2"/>
      <c r="K173" s="2"/>
      <c r="L173" s="2"/>
      <c r="M173" s="2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2">
      <c r="A174" s="1"/>
      <c r="B174" s="1"/>
      <c r="C174" s="2"/>
      <c r="D174" s="2"/>
      <c r="E174" s="2"/>
      <c r="F174" s="1"/>
      <c r="G174" s="2"/>
      <c r="H174" s="2"/>
      <c r="I174" s="2"/>
      <c r="J174" s="2"/>
      <c r="K174" s="2"/>
      <c r="L174" s="2"/>
      <c r="M174" s="2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2">
      <c r="A175" s="1"/>
      <c r="B175" s="1"/>
      <c r="C175" s="2"/>
      <c r="D175" s="2"/>
      <c r="E175" s="2"/>
      <c r="F175" s="1"/>
      <c r="G175" s="2"/>
      <c r="H175" s="2"/>
      <c r="I175" s="2"/>
      <c r="J175" s="2"/>
      <c r="K175" s="2"/>
      <c r="L175" s="2"/>
      <c r="M175" s="2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2">
      <c r="A176" s="1"/>
      <c r="B176" s="1"/>
      <c r="C176" s="2"/>
      <c r="D176" s="2"/>
      <c r="E176" s="2"/>
      <c r="F176" s="1"/>
      <c r="G176" s="2"/>
      <c r="H176" s="2"/>
      <c r="I176" s="2"/>
      <c r="J176" s="2"/>
      <c r="K176" s="2"/>
      <c r="L176" s="2"/>
      <c r="M176" s="2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2">
      <c r="A177" s="1"/>
      <c r="B177" s="1"/>
      <c r="C177" s="2"/>
      <c r="D177" s="2"/>
      <c r="E177" s="2"/>
      <c r="F177" s="1"/>
      <c r="G177" s="2"/>
      <c r="H177" s="2"/>
      <c r="I177" s="2"/>
      <c r="J177" s="2"/>
      <c r="K177" s="2"/>
      <c r="L177" s="2"/>
      <c r="M177" s="2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2">
      <c r="A178" s="1"/>
      <c r="B178" s="1"/>
      <c r="C178" s="2"/>
      <c r="D178" s="2"/>
      <c r="E178" s="2"/>
      <c r="F178" s="1"/>
      <c r="G178" s="2"/>
      <c r="H178" s="2"/>
      <c r="I178" s="2"/>
      <c r="J178" s="2"/>
      <c r="K178" s="2"/>
      <c r="L178" s="2"/>
      <c r="M178" s="2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2">
      <c r="A179" s="1"/>
      <c r="B179" s="1"/>
      <c r="C179" s="2"/>
      <c r="D179" s="2"/>
      <c r="E179" s="2"/>
      <c r="F179" s="1"/>
      <c r="G179" s="2"/>
      <c r="H179" s="2"/>
      <c r="I179" s="2"/>
      <c r="J179" s="2"/>
      <c r="K179" s="2"/>
      <c r="L179" s="2"/>
      <c r="M179" s="2"/>
      <c r="N179" s="4"/>
      <c r="O179" s="4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2">
      <c r="A180" s="1"/>
      <c r="B180" s="1"/>
      <c r="C180" s="2"/>
      <c r="D180" s="2"/>
      <c r="E180" s="2"/>
      <c r="F180" s="1"/>
      <c r="G180" s="2"/>
      <c r="H180" s="2"/>
      <c r="I180" s="2"/>
      <c r="J180" s="2"/>
      <c r="K180" s="2"/>
      <c r="L180" s="2"/>
      <c r="M180" s="2"/>
      <c r="N180" s="4"/>
      <c r="O180" s="4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2">
      <c r="A181" s="1"/>
      <c r="B181" s="1"/>
      <c r="C181" s="2"/>
      <c r="D181" s="2"/>
      <c r="E181" s="2"/>
      <c r="F181" s="1"/>
      <c r="G181" s="2"/>
      <c r="H181" s="2"/>
      <c r="I181" s="2"/>
      <c r="J181" s="2"/>
      <c r="K181" s="2"/>
      <c r="L181" s="2"/>
      <c r="M181" s="2"/>
      <c r="N181" s="4"/>
      <c r="O181" s="4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2">
      <c r="A182" s="1"/>
      <c r="B182" s="1"/>
      <c r="C182" s="2"/>
      <c r="D182" s="2"/>
      <c r="E182" s="2"/>
      <c r="F182" s="1"/>
      <c r="G182" s="2"/>
      <c r="H182" s="2"/>
      <c r="I182" s="2"/>
      <c r="J182" s="2"/>
      <c r="K182" s="2"/>
      <c r="L182" s="2"/>
      <c r="M182" s="2"/>
      <c r="N182" s="4"/>
      <c r="O182" s="4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2">
      <c r="A183" s="1"/>
      <c r="B183" s="1"/>
      <c r="C183" s="2"/>
      <c r="D183" s="2"/>
      <c r="E183" s="2"/>
      <c r="F183" s="1"/>
      <c r="G183" s="2"/>
      <c r="H183" s="2"/>
      <c r="I183" s="2"/>
      <c r="J183" s="2"/>
      <c r="K183" s="2"/>
      <c r="L183" s="2"/>
      <c r="M183" s="2"/>
      <c r="N183" s="4"/>
      <c r="O183" s="4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2">
      <c r="A184" s="1"/>
      <c r="B184" s="1"/>
      <c r="C184" s="2"/>
      <c r="D184" s="2"/>
      <c r="E184" s="2"/>
      <c r="F184" s="1"/>
      <c r="G184" s="2"/>
      <c r="H184" s="2"/>
      <c r="I184" s="2"/>
      <c r="J184" s="2"/>
      <c r="K184" s="2"/>
      <c r="L184" s="2"/>
      <c r="M184" s="2"/>
      <c r="N184" s="4"/>
      <c r="O184" s="4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2">
      <c r="A185" s="1"/>
      <c r="B185" s="1"/>
      <c r="C185" s="2"/>
      <c r="D185" s="2"/>
      <c r="E185" s="2"/>
      <c r="F185" s="1"/>
      <c r="G185" s="2"/>
      <c r="H185" s="2"/>
      <c r="I185" s="2"/>
      <c r="J185" s="2"/>
      <c r="K185" s="2"/>
      <c r="L185" s="2"/>
      <c r="M185" s="2"/>
      <c r="N185" s="4"/>
      <c r="O185" s="4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2">
      <c r="A186" s="1"/>
      <c r="B186" s="1"/>
      <c r="C186" s="2"/>
      <c r="D186" s="2"/>
      <c r="E186" s="2"/>
      <c r="F186" s="1"/>
      <c r="G186" s="2"/>
      <c r="H186" s="2"/>
      <c r="I186" s="2"/>
      <c r="J186" s="2"/>
      <c r="K186" s="2"/>
      <c r="L186" s="2"/>
      <c r="M186" s="2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2">
      <c r="A187" s="1"/>
      <c r="B187" s="1"/>
      <c r="C187" s="2"/>
      <c r="D187" s="2"/>
      <c r="E187" s="2"/>
      <c r="F187" s="1"/>
      <c r="G187" s="2"/>
      <c r="H187" s="2"/>
      <c r="I187" s="2"/>
      <c r="J187" s="2"/>
      <c r="K187" s="2"/>
      <c r="L187" s="2"/>
      <c r="M187" s="2"/>
      <c r="N187" s="4"/>
      <c r="O187" s="4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2">
      <c r="A188" s="1"/>
      <c r="B188" s="1"/>
      <c r="C188" s="2"/>
      <c r="D188" s="2"/>
      <c r="E188" s="2"/>
      <c r="F188" s="1"/>
      <c r="G188" s="2"/>
      <c r="H188" s="2"/>
      <c r="I188" s="2"/>
      <c r="J188" s="2"/>
      <c r="K188" s="2"/>
      <c r="L188" s="2"/>
      <c r="M188" s="2"/>
      <c r="N188" s="4"/>
      <c r="O188" s="4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2">
      <c r="A189" s="1"/>
      <c r="B189" s="1"/>
      <c r="C189" s="2"/>
      <c r="D189" s="2"/>
      <c r="E189" s="2"/>
      <c r="F189" s="1"/>
      <c r="G189" s="2"/>
      <c r="H189" s="2"/>
      <c r="I189" s="2"/>
      <c r="J189" s="2"/>
      <c r="K189" s="2"/>
      <c r="L189" s="2"/>
      <c r="M189" s="2"/>
      <c r="N189" s="4"/>
      <c r="O189" s="4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2">
      <c r="A190" s="1"/>
      <c r="B190" s="1"/>
      <c r="C190" s="2"/>
      <c r="D190" s="2"/>
      <c r="E190" s="2"/>
      <c r="F190" s="1"/>
      <c r="G190" s="2"/>
      <c r="H190" s="2"/>
      <c r="I190" s="2"/>
      <c r="J190" s="2"/>
      <c r="K190" s="2"/>
      <c r="L190" s="2"/>
      <c r="M190" s="2"/>
      <c r="N190" s="4"/>
      <c r="O190" s="4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2">
      <c r="A191" s="1"/>
      <c r="B191" s="1"/>
      <c r="C191" s="2"/>
      <c r="D191" s="2"/>
      <c r="E191" s="2"/>
      <c r="F191" s="1"/>
      <c r="G191" s="2"/>
      <c r="H191" s="2"/>
      <c r="I191" s="2"/>
      <c r="J191" s="2"/>
      <c r="K191" s="2"/>
      <c r="L191" s="2"/>
      <c r="M191" s="2"/>
      <c r="N191" s="4"/>
      <c r="O191" s="4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2">
      <c r="A192" s="1"/>
      <c r="B192" s="1"/>
      <c r="C192" s="2"/>
      <c r="D192" s="2"/>
      <c r="E192" s="2"/>
      <c r="F192" s="1"/>
      <c r="G192" s="2"/>
      <c r="H192" s="2"/>
      <c r="I192" s="2"/>
      <c r="J192" s="2"/>
      <c r="K192" s="2"/>
      <c r="L192" s="2"/>
      <c r="M192" s="2"/>
      <c r="N192" s="4"/>
      <c r="O192" s="4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2">
      <c r="A193" s="1"/>
      <c r="B193" s="1"/>
      <c r="C193" s="2"/>
      <c r="D193" s="2"/>
      <c r="E193" s="2"/>
      <c r="F193" s="1"/>
      <c r="G193" s="2"/>
      <c r="H193" s="2"/>
      <c r="I193" s="2"/>
      <c r="J193" s="2"/>
      <c r="K193" s="2"/>
      <c r="L193" s="2"/>
      <c r="M193" s="2"/>
      <c r="N193" s="4"/>
      <c r="O193" s="4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2">
      <c r="A194" s="1"/>
      <c r="B194" s="1"/>
      <c r="C194" s="2"/>
      <c r="D194" s="2"/>
      <c r="E194" s="2"/>
      <c r="F194" s="1"/>
      <c r="G194" s="2"/>
      <c r="H194" s="2"/>
      <c r="I194" s="2"/>
      <c r="J194" s="2"/>
      <c r="K194" s="2"/>
      <c r="L194" s="2"/>
      <c r="M194" s="2"/>
      <c r="N194" s="4"/>
      <c r="O194" s="4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2">
      <c r="A195" s="1"/>
      <c r="B195" s="1"/>
      <c r="C195" s="2"/>
      <c r="D195" s="2"/>
      <c r="E195" s="2"/>
      <c r="F195" s="1"/>
      <c r="G195" s="2"/>
      <c r="H195" s="2"/>
      <c r="I195" s="2"/>
      <c r="J195" s="2"/>
      <c r="K195" s="2"/>
      <c r="L195" s="2"/>
      <c r="M195" s="2"/>
      <c r="N195" s="4"/>
      <c r="O195" s="4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2">
      <c r="A196" s="1"/>
      <c r="B196" s="1"/>
      <c r="C196" s="2"/>
      <c r="D196" s="2"/>
      <c r="E196" s="2"/>
      <c r="F196" s="1"/>
      <c r="G196" s="2"/>
      <c r="H196" s="2"/>
      <c r="I196" s="2"/>
      <c r="J196" s="2"/>
      <c r="K196" s="2"/>
      <c r="L196" s="2"/>
      <c r="M196" s="2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2">
      <c r="A197" s="1"/>
      <c r="B197" s="1"/>
      <c r="C197" s="2"/>
      <c r="D197" s="2"/>
      <c r="E197" s="2"/>
      <c r="F197" s="1"/>
      <c r="G197" s="2"/>
      <c r="H197" s="2"/>
      <c r="I197" s="2"/>
      <c r="J197" s="2"/>
      <c r="K197" s="2"/>
      <c r="L197" s="2"/>
      <c r="M197" s="2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2">
      <c r="A198" s="1"/>
      <c r="B198" s="1"/>
      <c r="C198" s="2"/>
      <c r="D198" s="2"/>
      <c r="E198" s="2"/>
      <c r="F198" s="1"/>
      <c r="G198" s="2"/>
      <c r="H198" s="2"/>
      <c r="I198" s="2"/>
      <c r="J198" s="2"/>
      <c r="K198" s="2"/>
      <c r="L198" s="2"/>
      <c r="M198" s="2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2">
      <c r="A199" s="1"/>
      <c r="B199" s="1"/>
      <c r="C199" s="2"/>
      <c r="D199" s="2"/>
      <c r="E199" s="2"/>
      <c r="F199" s="1"/>
      <c r="G199" s="2"/>
      <c r="H199" s="2"/>
      <c r="I199" s="2"/>
      <c r="J199" s="2"/>
      <c r="K199" s="2"/>
      <c r="L199" s="2"/>
      <c r="M199" s="2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2">
      <c r="A200" s="1"/>
      <c r="B200" s="1"/>
      <c r="C200" s="2"/>
      <c r="D200" s="2"/>
      <c r="E200" s="2"/>
      <c r="F200" s="1"/>
      <c r="G200" s="2"/>
      <c r="H200" s="2"/>
      <c r="I200" s="2"/>
      <c r="J200" s="2"/>
      <c r="K200" s="2"/>
      <c r="L200" s="2"/>
      <c r="M200" s="2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2">
      <c r="A201" s="1"/>
      <c r="B201" s="1"/>
      <c r="C201" s="2"/>
      <c r="D201" s="2"/>
      <c r="E201" s="2"/>
      <c r="F201" s="1"/>
      <c r="G201" s="2"/>
      <c r="H201" s="2"/>
      <c r="I201" s="2"/>
      <c r="J201" s="2"/>
      <c r="K201" s="2"/>
      <c r="L201" s="2"/>
      <c r="M201" s="2"/>
      <c r="N201" s="4"/>
      <c r="O201" s="4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2">
      <c r="A202" s="1"/>
      <c r="B202" s="1"/>
      <c r="C202" s="2"/>
      <c r="D202" s="2"/>
      <c r="E202" s="2"/>
      <c r="F202" s="1"/>
      <c r="G202" s="2"/>
      <c r="H202" s="2"/>
      <c r="I202" s="2"/>
      <c r="J202" s="2"/>
      <c r="K202" s="2"/>
      <c r="L202" s="2"/>
      <c r="M202" s="2"/>
      <c r="N202" s="4"/>
      <c r="O202" s="4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2">
      <c r="A203" s="1"/>
      <c r="B203" s="1"/>
      <c r="C203" s="2"/>
      <c r="D203" s="2"/>
      <c r="E203" s="2"/>
      <c r="F203" s="1"/>
      <c r="G203" s="2"/>
      <c r="H203" s="2"/>
      <c r="I203" s="2"/>
      <c r="J203" s="2"/>
      <c r="K203" s="2"/>
      <c r="L203" s="2"/>
      <c r="M203" s="2"/>
      <c r="N203" s="4"/>
      <c r="O203" s="4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2">
      <c r="A204" s="1"/>
      <c r="B204" s="1"/>
      <c r="C204" s="2"/>
      <c r="D204" s="2"/>
      <c r="E204" s="2"/>
      <c r="F204" s="1"/>
      <c r="G204" s="2"/>
      <c r="H204" s="2"/>
      <c r="I204" s="2"/>
      <c r="J204" s="2"/>
      <c r="K204" s="2"/>
      <c r="L204" s="2"/>
      <c r="M204" s="2"/>
      <c r="N204" s="4"/>
      <c r="O204" s="4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2">
      <c r="A205" s="1"/>
      <c r="B205" s="1"/>
      <c r="C205" s="2"/>
      <c r="D205" s="2"/>
      <c r="E205" s="2"/>
      <c r="F205" s="1"/>
      <c r="G205" s="2"/>
      <c r="H205" s="2"/>
      <c r="I205" s="2"/>
      <c r="J205" s="2"/>
      <c r="K205" s="2"/>
      <c r="L205" s="2"/>
      <c r="M205" s="2"/>
      <c r="N205" s="4"/>
      <c r="O205" s="4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2">
      <c r="A206" s="1"/>
      <c r="B206" s="1"/>
      <c r="C206" s="2"/>
      <c r="D206" s="2"/>
      <c r="E206" s="2"/>
      <c r="F206" s="1"/>
      <c r="G206" s="2"/>
      <c r="H206" s="2"/>
      <c r="I206" s="2"/>
      <c r="J206" s="2"/>
      <c r="K206" s="2"/>
      <c r="L206" s="2"/>
      <c r="M206" s="2"/>
      <c r="N206" s="4"/>
      <c r="O206" s="4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2">
      <c r="A207" s="1"/>
      <c r="B207" s="1"/>
      <c r="C207" s="2"/>
      <c r="D207" s="2"/>
      <c r="E207" s="2"/>
      <c r="F207" s="1"/>
      <c r="G207" s="2"/>
      <c r="H207" s="2"/>
      <c r="I207" s="2"/>
      <c r="J207" s="2"/>
      <c r="K207" s="2"/>
      <c r="L207" s="2"/>
      <c r="M207" s="2"/>
      <c r="N207" s="4"/>
      <c r="O207" s="4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2">
      <c r="A208" s="1"/>
      <c r="B208" s="1"/>
      <c r="C208" s="2"/>
      <c r="D208" s="2"/>
      <c r="E208" s="2"/>
      <c r="F208" s="1"/>
      <c r="G208" s="2"/>
      <c r="H208" s="2"/>
      <c r="I208" s="2"/>
      <c r="J208" s="2"/>
      <c r="K208" s="2"/>
      <c r="L208" s="2"/>
      <c r="M208" s="2"/>
      <c r="N208" s="4"/>
      <c r="O208" s="4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2">
      <c r="A209" s="1"/>
      <c r="B209" s="1"/>
      <c r="C209" s="2"/>
      <c r="D209" s="2"/>
      <c r="E209" s="2"/>
      <c r="F209" s="1"/>
      <c r="G209" s="2"/>
      <c r="H209" s="2"/>
      <c r="I209" s="2"/>
      <c r="J209" s="2"/>
      <c r="K209" s="2"/>
      <c r="L209" s="2"/>
      <c r="M209" s="2"/>
      <c r="N209" s="4"/>
      <c r="O209" s="4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2">
      <c r="A210" s="1"/>
      <c r="B210" s="1"/>
      <c r="C210" s="2"/>
      <c r="D210" s="2"/>
      <c r="E210" s="2"/>
      <c r="F210" s="1"/>
      <c r="G210" s="2"/>
      <c r="H210" s="2"/>
      <c r="I210" s="2"/>
      <c r="J210" s="2"/>
      <c r="K210" s="2"/>
      <c r="L210" s="2"/>
      <c r="M210" s="2"/>
      <c r="N210" s="4"/>
      <c r="O210" s="4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2">
      <c r="A211" s="1"/>
      <c r="B211" s="1"/>
      <c r="C211" s="2"/>
      <c r="D211" s="2"/>
      <c r="E211" s="2"/>
      <c r="F211" s="1"/>
      <c r="G211" s="2"/>
      <c r="H211" s="2"/>
      <c r="I211" s="2"/>
      <c r="J211" s="2"/>
      <c r="K211" s="2"/>
      <c r="L211" s="2"/>
      <c r="M211" s="2"/>
      <c r="N211" s="4"/>
      <c r="O211" s="4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2">
      <c r="A212" s="1"/>
      <c r="B212" s="1"/>
      <c r="C212" s="2"/>
      <c r="D212" s="2"/>
      <c r="E212" s="2"/>
      <c r="F212" s="1"/>
      <c r="G212" s="2"/>
      <c r="H212" s="2"/>
      <c r="I212" s="2"/>
      <c r="J212" s="2"/>
      <c r="K212" s="2"/>
      <c r="L212" s="2"/>
      <c r="M212" s="2"/>
      <c r="N212" s="4"/>
      <c r="O212" s="4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2">
      <c r="A213" s="1"/>
      <c r="B213" s="1"/>
      <c r="C213" s="2"/>
      <c r="D213" s="2"/>
      <c r="E213" s="2"/>
      <c r="F213" s="1"/>
      <c r="G213" s="2"/>
      <c r="H213" s="2"/>
      <c r="I213" s="2"/>
      <c r="J213" s="2"/>
      <c r="K213" s="2"/>
      <c r="L213" s="2"/>
      <c r="M213" s="2"/>
      <c r="N213" s="4"/>
      <c r="O213" s="4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2">
      <c r="A214" s="1"/>
      <c r="B214" s="1"/>
      <c r="C214" s="2"/>
      <c r="D214" s="2"/>
      <c r="E214" s="2"/>
      <c r="F214" s="1"/>
      <c r="G214" s="2"/>
      <c r="H214" s="2"/>
      <c r="I214" s="2"/>
      <c r="J214" s="2"/>
      <c r="K214" s="2"/>
      <c r="L214" s="2"/>
      <c r="M214" s="2"/>
      <c r="N214" s="4"/>
      <c r="O214" s="4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2">
      <c r="A215" s="1"/>
      <c r="B215" s="1"/>
      <c r="C215" s="2"/>
      <c r="D215" s="2"/>
      <c r="E215" s="2"/>
      <c r="F215" s="1"/>
      <c r="G215" s="2"/>
      <c r="H215" s="2"/>
      <c r="I215" s="2"/>
      <c r="J215" s="2"/>
      <c r="K215" s="2"/>
      <c r="L215" s="2"/>
      <c r="M215" s="2"/>
      <c r="N215" s="4"/>
      <c r="O215" s="4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2">
      <c r="A216" s="1"/>
      <c r="B216" s="1"/>
      <c r="C216" s="2"/>
      <c r="D216" s="2"/>
      <c r="E216" s="2"/>
      <c r="F216" s="1"/>
      <c r="G216" s="2"/>
      <c r="H216" s="2"/>
      <c r="I216" s="2"/>
      <c r="J216" s="2"/>
      <c r="K216" s="2"/>
      <c r="L216" s="2"/>
      <c r="M216" s="2"/>
      <c r="N216" s="4"/>
      <c r="O216" s="4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2">
      <c r="A217" s="1"/>
      <c r="B217" s="1"/>
      <c r="C217" s="2"/>
      <c r="D217" s="2"/>
      <c r="E217" s="2"/>
      <c r="F217" s="1"/>
      <c r="G217" s="2"/>
      <c r="H217" s="2"/>
      <c r="I217" s="2"/>
      <c r="J217" s="2"/>
      <c r="K217" s="2"/>
      <c r="L217" s="2"/>
      <c r="M217" s="2"/>
      <c r="N217" s="4"/>
      <c r="O217" s="4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2">
      <c r="A218" s="1"/>
      <c r="B218" s="1"/>
      <c r="C218" s="2"/>
      <c r="D218" s="2"/>
      <c r="E218" s="2"/>
      <c r="F218" s="1"/>
      <c r="G218" s="2"/>
      <c r="H218" s="2"/>
      <c r="I218" s="2"/>
      <c r="J218" s="2"/>
      <c r="K218" s="2"/>
      <c r="L218" s="2"/>
      <c r="M218" s="2"/>
      <c r="N218" s="4"/>
      <c r="O218" s="4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2">
      <c r="A219" s="1"/>
      <c r="B219" s="1"/>
      <c r="C219" s="2"/>
      <c r="D219" s="2"/>
      <c r="E219" s="2"/>
      <c r="F219" s="1"/>
      <c r="G219" s="2"/>
      <c r="H219" s="2"/>
      <c r="I219" s="2"/>
      <c r="J219" s="2"/>
      <c r="K219" s="2"/>
      <c r="L219" s="2"/>
      <c r="M219" s="2"/>
      <c r="N219" s="4"/>
      <c r="O219" s="4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2">
      <c r="A220" s="1"/>
      <c r="B220" s="1"/>
      <c r="C220" s="2"/>
      <c r="D220" s="2"/>
      <c r="E220" s="2"/>
      <c r="F220" s="1"/>
      <c r="G220" s="2"/>
      <c r="H220" s="2"/>
      <c r="I220" s="2"/>
      <c r="J220" s="2"/>
      <c r="K220" s="2"/>
      <c r="L220" s="2"/>
      <c r="M220" s="2"/>
      <c r="N220" s="4"/>
      <c r="O220" s="4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2">
      <c r="A221" s="1"/>
      <c r="B221" s="1"/>
      <c r="C221" s="2"/>
      <c r="D221" s="2"/>
      <c r="E221" s="2"/>
      <c r="F221" s="1"/>
      <c r="G221" s="2"/>
      <c r="H221" s="2"/>
      <c r="I221" s="2"/>
      <c r="J221" s="2"/>
      <c r="K221" s="2"/>
      <c r="L221" s="2"/>
      <c r="M221" s="2"/>
      <c r="N221" s="4"/>
      <c r="O221" s="4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2">
      <c r="A222" s="1"/>
      <c r="B222" s="1"/>
      <c r="C222" s="2"/>
      <c r="D222" s="2"/>
      <c r="E222" s="2"/>
      <c r="F222" s="1"/>
      <c r="G222" s="2"/>
      <c r="H222" s="2"/>
      <c r="I222" s="2"/>
      <c r="J222" s="2"/>
      <c r="K222" s="2"/>
      <c r="L222" s="2"/>
      <c r="M222" s="2"/>
      <c r="N222" s="4"/>
      <c r="O222" s="4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2">
      <c r="A223" s="1"/>
      <c r="B223" s="1"/>
      <c r="C223" s="2"/>
      <c r="D223" s="2"/>
      <c r="E223" s="2"/>
      <c r="F223" s="1"/>
      <c r="G223" s="2"/>
      <c r="H223" s="2"/>
      <c r="I223" s="2"/>
      <c r="J223" s="2"/>
      <c r="K223" s="2"/>
      <c r="L223" s="2"/>
      <c r="M223" s="2"/>
      <c r="N223" s="4"/>
      <c r="O223" s="4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2">
      <c r="A224" s="1"/>
      <c r="B224" s="1"/>
      <c r="C224" s="2"/>
      <c r="D224" s="2"/>
      <c r="E224" s="2"/>
      <c r="F224" s="1"/>
      <c r="G224" s="2"/>
      <c r="H224" s="2"/>
      <c r="I224" s="2"/>
      <c r="J224" s="2"/>
      <c r="K224" s="2"/>
      <c r="L224" s="2"/>
      <c r="M224" s="2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2">
      <c r="A225" s="1"/>
      <c r="B225" s="1"/>
      <c r="C225" s="2"/>
      <c r="D225" s="2"/>
      <c r="E225" s="2"/>
      <c r="F225" s="1"/>
      <c r="G225" s="2"/>
      <c r="H225" s="2"/>
      <c r="I225" s="2"/>
      <c r="J225" s="2"/>
      <c r="K225" s="2"/>
      <c r="L225" s="2"/>
      <c r="M225" s="2"/>
      <c r="N225" s="4"/>
      <c r="O225" s="4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2">
      <c r="A226" s="1"/>
      <c r="B226" s="1"/>
      <c r="C226" s="2"/>
      <c r="D226" s="2"/>
      <c r="E226" s="2"/>
      <c r="F226" s="1"/>
      <c r="G226" s="2"/>
      <c r="H226" s="2"/>
      <c r="I226" s="2"/>
      <c r="J226" s="2"/>
      <c r="K226" s="2"/>
      <c r="L226" s="2"/>
      <c r="M226" s="2"/>
      <c r="N226" s="4"/>
      <c r="O226" s="4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2">
      <c r="A227" s="1"/>
      <c r="B227" s="1"/>
      <c r="C227" s="2"/>
      <c r="D227" s="2"/>
      <c r="E227" s="2"/>
      <c r="F227" s="1"/>
      <c r="G227" s="2"/>
      <c r="H227" s="2"/>
      <c r="I227" s="2"/>
      <c r="J227" s="2"/>
      <c r="K227" s="2"/>
      <c r="L227" s="2"/>
      <c r="M227" s="2"/>
      <c r="N227" s="4"/>
      <c r="O227" s="4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2">
      <c r="A228" s="1"/>
      <c r="B228" s="1"/>
      <c r="C228" s="2"/>
      <c r="D228" s="2"/>
      <c r="E228" s="2"/>
      <c r="F228" s="1"/>
      <c r="G228" s="2"/>
      <c r="H228" s="2"/>
      <c r="I228" s="2"/>
      <c r="J228" s="2"/>
      <c r="K228" s="2"/>
      <c r="L228" s="2"/>
      <c r="M228" s="2"/>
      <c r="N228" s="4"/>
      <c r="O228" s="4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2">
      <c r="A229" s="1"/>
      <c r="B229" s="1"/>
      <c r="C229" s="2"/>
      <c r="D229" s="2"/>
      <c r="E229" s="2"/>
      <c r="F229" s="1"/>
      <c r="G229" s="2"/>
      <c r="H229" s="2"/>
      <c r="I229" s="2"/>
      <c r="J229" s="2"/>
      <c r="K229" s="2"/>
      <c r="L229" s="2"/>
      <c r="M229" s="2"/>
      <c r="N229" s="4"/>
      <c r="O229" s="4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2">
      <c r="A230" s="1"/>
      <c r="B230" s="1"/>
      <c r="C230" s="2"/>
      <c r="D230" s="2"/>
      <c r="E230" s="2"/>
      <c r="F230" s="1"/>
      <c r="G230" s="2"/>
      <c r="H230" s="2"/>
      <c r="I230" s="2"/>
      <c r="J230" s="2"/>
      <c r="K230" s="2"/>
      <c r="L230" s="2"/>
      <c r="M230" s="2"/>
      <c r="N230" s="4"/>
      <c r="O230" s="4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2">
      <c r="A231" s="1"/>
      <c r="B231" s="1"/>
      <c r="C231" s="2"/>
      <c r="D231" s="2"/>
      <c r="E231" s="2"/>
      <c r="F231" s="1"/>
      <c r="G231" s="2"/>
      <c r="H231" s="2"/>
      <c r="I231" s="2"/>
      <c r="J231" s="2"/>
      <c r="K231" s="2"/>
      <c r="L231" s="2"/>
      <c r="M231" s="2"/>
      <c r="N231" s="4"/>
      <c r="O231" s="4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2">
      <c r="A232" s="1"/>
      <c r="B232" s="1"/>
      <c r="C232" s="2"/>
      <c r="D232" s="2"/>
      <c r="E232" s="2"/>
      <c r="F232" s="1"/>
      <c r="G232" s="2"/>
      <c r="H232" s="2"/>
      <c r="I232" s="2"/>
      <c r="J232" s="2"/>
      <c r="K232" s="2"/>
      <c r="L232" s="2"/>
      <c r="M232" s="2"/>
      <c r="N232" s="4"/>
      <c r="O232" s="4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2">
      <c r="A233" s="1"/>
      <c r="B233" s="1"/>
      <c r="C233" s="2"/>
      <c r="D233" s="2"/>
      <c r="E233" s="2"/>
      <c r="F233" s="1"/>
      <c r="G233" s="2"/>
      <c r="H233" s="2"/>
      <c r="I233" s="2"/>
      <c r="J233" s="2"/>
      <c r="K233" s="2"/>
      <c r="L233" s="2"/>
      <c r="M233" s="2"/>
      <c r="N233" s="4"/>
      <c r="O233" s="4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2">
      <c r="A234" s="1"/>
      <c r="B234" s="1"/>
      <c r="C234" s="2"/>
      <c r="D234" s="2"/>
      <c r="E234" s="2"/>
      <c r="F234" s="1"/>
      <c r="G234" s="2"/>
      <c r="H234" s="2"/>
      <c r="I234" s="2"/>
      <c r="J234" s="2"/>
      <c r="K234" s="2"/>
      <c r="L234" s="2"/>
      <c r="M234" s="2"/>
      <c r="N234" s="4"/>
      <c r="O234" s="4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2">
      <c r="A235" s="1"/>
      <c r="B235" s="1"/>
      <c r="C235" s="2"/>
      <c r="D235" s="2"/>
      <c r="E235" s="2"/>
      <c r="F235" s="1"/>
      <c r="G235" s="2"/>
      <c r="H235" s="2"/>
      <c r="I235" s="2"/>
      <c r="J235" s="2"/>
      <c r="K235" s="2"/>
      <c r="L235" s="2"/>
      <c r="M235" s="2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2">
      <c r="A236" s="1"/>
      <c r="B236" s="1"/>
      <c r="C236" s="2"/>
      <c r="D236" s="2"/>
      <c r="E236" s="2"/>
      <c r="F236" s="1"/>
      <c r="G236" s="2"/>
      <c r="H236" s="2"/>
      <c r="I236" s="2"/>
      <c r="J236" s="2"/>
      <c r="K236" s="2"/>
      <c r="L236" s="2"/>
      <c r="M236" s="2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2">
      <c r="A237" s="1"/>
      <c r="B237" s="1"/>
      <c r="C237" s="2"/>
      <c r="D237" s="2"/>
      <c r="E237" s="2"/>
      <c r="F237" s="1"/>
      <c r="G237" s="2"/>
      <c r="H237" s="2"/>
      <c r="I237" s="2"/>
      <c r="J237" s="2"/>
      <c r="K237" s="2"/>
      <c r="L237" s="2"/>
      <c r="M237" s="2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2">
      <c r="A238" s="1"/>
      <c r="B238" s="1"/>
      <c r="C238" s="2"/>
      <c r="D238" s="2"/>
      <c r="E238" s="2"/>
      <c r="F238" s="1"/>
      <c r="G238" s="2"/>
      <c r="H238" s="2"/>
      <c r="I238" s="2"/>
      <c r="J238" s="2"/>
      <c r="K238" s="2"/>
      <c r="L238" s="2"/>
      <c r="M238" s="2"/>
      <c r="N238" s="4"/>
      <c r="O238" s="4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2">
      <c r="A239" s="1"/>
      <c r="B239" s="1"/>
      <c r="C239" s="2"/>
      <c r="D239" s="2"/>
      <c r="E239" s="2"/>
      <c r="F239" s="1"/>
      <c r="G239" s="2"/>
      <c r="H239" s="2"/>
      <c r="I239" s="2"/>
      <c r="J239" s="2"/>
      <c r="K239" s="2"/>
      <c r="L239" s="2"/>
      <c r="M239" s="2"/>
      <c r="N239" s="4"/>
      <c r="O239" s="4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2">
      <c r="A240" s="1"/>
      <c r="B240" s="1"/>
      <c r="C240" s="2"/>
      <c r="D240" s="2"/>
      <c r="E240" s="2"/>
      <c r="F240" s="1"/>
      <c r="G240" s="2"/>
      <c r="H240" s="2"/>
      <c r="I240" s="2"/>
      <c r="J240" s="2"/>
      <c r="K240" s="2"/>
      <c r="L240" s="2"/>
      <c r="M240" s="2"/>
      <c r="N240" s="4"/>
      <c r="O240" s="4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">
      <c r="A241" s="1"/>
      <c r="B241" s="1"/>
      <c r="C241" s="2"/>
      <c r="D241" s="2"/>
      <c r="E241" s="2"/>
      <c r="F241" s="1"/>
      <c r="G241" s="2"/>
      <c r="H241" s="2"/>
      <c r="I241" s="2"/>
      <c r="J241" s="2"/>
      <c r="K241" s="2"/>
      <c r="L241" s="2"/>
      <c r="M241" s="2"/>
      <c r="N241" s="4"/>
      <c r="O241" s="4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">
      <c r="A242" s="1"/>
      <c r="B242" s="1"/>
      <c r="C242" s="2"/>
      <c r="D242" s="2"/>
      <c r="E242" s="2"/>
      <c r="F242" s="1"/>
      <c r="G242" s="2"/>
      <c r="H242" s="2"/>
      <c r="I242" s="2"/>
      <c r="J242" s="2"/>
      <c r="K242" s="2"/>
      <c r="L242" s="2"/>
      <c r="M242" s="2"/>
      <c r="N242" s="4"/>
      <c r="O242" s="4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">
      <c r="A243" s="1"/>
      <c r="B243" s="1"/>
      <c r="C243" s="2"/>
      <c r="D243" s="2"/>
      <c r="E243" s="2"/>
      <c r="F243" s="1"/>
      <c r="G243" s="2"/>
      <c r="H243" s="2"/>
      <c r="I243" s="2"/>
      <c r="J243" s="2"/>
      <c r="K243" s="2"/>
      <c r="L243" s="2"/>
      <c r="M243" s="2"/>
      <c r="N243" s="4"/>
      <c r="O243" s="4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">
      <c r="A244" s="1"/>
      <c r="B244" s="1"/>
      <c r="C244" s="2"/>
      <c r="D244" s="2"/>
      <c r="E244" s="2"/>
      <c r="F244" s="1"/>
      <c r="G244" s="2"/>
      <c r="H244" s="2"/>
      <c r="I244" s="2"/>
      <c r="J244" s="2"/>
      <c r="K244" s="2"/>
      <c r="L244" s="2"/>
      <c r="M244" s="2"/>
      <c r="N244" s="4"/>
      <c r="O244" s="4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">
      <c r="N245" s="62"/>
      <c r="O245" s="62"/>
      <c r="P245" s="62"/>
    </row>
    <row r="246" spans="1:30" ht="15.75" customHeight="1" x14ac:dyDescent="0.2">
      <c r="N246" s="62"/>
      <c r="O246" s="62"/>
      <c r="P246" s="62"/>
    </row>
    <row r="247" spans="1:30" ht="15.75" customHeight="1" x14ac:dyDescent="0.2">
      <c r="N247" s="62"/>
      <c r="O247" s="62"/>
      <c r="P247" s="62"/>
    </row>
    <row r="248" spans="1:30" ht="15.75" customHeight="1" x14ac:dyDescent="0.2">
      <c r="N248" s="62"/>
      <c r="O248" s="62"/>
      <c r="P248" s="62"/>
    </row>
    <row r="249" spans="1:30" ht="15.75" customHeight="1" x14ac:dyDescent="0.2">
      <c r="N249" s="62"/>
      <c r="O249" s="62"/>
      <c r="P249" s="62"/>
    </row>
    <row r="250" spans="1:30" ht="15.75" customHeight="1" x14ac:dyDescent="0.2">
      <c r="N250" s="62"/>
      <c r="O250" s="62"/>
      <c r="P250" s="62"/>
    </row>
    <row r="251" spans="1:30" ht="15.75" customHeight="1" x14ac:dyDescent="0.2">
      <c r="N251" s="62"/>
      <c r="O251" s="62"/>
      <c r="P251" s="62"/>
    </row>
    <row r="252" spans="1:30" ht="15.75" customHeight="1" x14ac:dyDescent="0.2">
      <c r="N252" s="62"/>
      <c r="O252" s="62"/>
      <c r="P252" s="62"/>
    </row>
    <row r="253" spans="1:30" ht="15.75" customHeight="1" x14ac:dyDescent="0.2">
      <c r="N253" s="62"/>
      <c r="O253" s="62"/>
      <c r="P253" s="62"/>
    </row>
    <row r="254" spans="1:30" ht="15.75" customHeight="1" x14ac:dyDescent="0.2">
      <c r="N254" s="62"/>
      <c r="O254" s="62"/>
      <c r="P254" s="62"/>
    </row>
    <row r="255" spans="1:30" ht="15.75" customHeight="1" x14ac:dyDescent="0.2">
      <c r="N255" s="62"/>
      <c r="O255" s="62"/>
      <c r="P255" s="62"/>
    </row>
    <row r="256" spans="1:30" ht="15.75" customHeight="1" x14ac:dyDescent="0.2">
      <c r="N256" s="62"/>
      <c r="O256" s="62"/>
      <c r="P256" s="62"/>
    </row>
    <row r="257" spans="14:16" ht="15.75" customHeight="1" x14ac:dyDescent="0.2">
      <c r="N257" s="62"/>
      <c r="O257" s="62"/>
      <c r="P257" s="62"/>
    </row>
    <row r="258" spans="14:16" ht="15.75" customHeight="1" x14ac:dyDescent="0.2">
      <c r="N258" s="62"/>
      <c r="O258" s="62"/>
      <c r="P258" s="62"/>
    </row>
    <row r="259" spans="14:16" ht="15.75" customHeight="1" x14ac:dyDescent="0.2">
      <c r="N259" s="62"/>
      <c r="O259" s="62"/>
      <c r="P259" s="62"/>
    </row>
    <row r="260" spans="14:16" ht="15.75" customHeight="1" x14ac:dyDescent="0.2">
      <c r="N260" s="62"/>
      <c r="O260" s="62"/>
      <c r="P260" s="62"/>
    </row>
    <row r="261" spans="14:16" ht="15.75" customHeight="1" x14ac:dyDescent="0.2">
      <c r="N261" s="62"/>
      <c r="O261" s="62"/>
      <c r="P261" s="62"/>
    </row>
    <row r="262" spans="14:16" ht="15.75" customHeight="1" x14ac:dyDescent="0.2">
      <c r="N262" s="62"/>
      <c r="O262" s="62"/>
      <c r="P262" s="62"/>
    </row>
    <row r="263" spans="14:16" ht="15.75" customHeight="1" x14ac:dyDescent="0.2">
      <c r="N263" s="62"/>
      <c r="O263" s="62"/>
      <c r="P263" s="62"/>
    </row>
    <row r="264" spans="14:16" ht="15.75" customHeight="1" x14ac:dyDescent="0.2">
      <c r="N264" s="62"/>
      <c r="O264" s="62"/>
      <c r="P264" s="62"/>
    </row>
    <row r="265" spans="14:16" ht="15.75" customHeight="1" x14ac:dyDescent="0.2">
      <c r="N265" s="62"/>
      <c r="O265" s="62"/>
      <c r="P265" s="62"/>
    </row>
    <row r="266" spans="14:16" ht="15.75" customHeight="1" x14ac:dyDescent="0.2">
      <c r="N266" s="62"/>
      <c r="O266" s="62"/>
      <c r="P266" s="62"/>
    </row>
    <row r="267" spans="14:16" ht="15.75" customHeight="1" x14ac:dyDescent="0.2">
      <c r="N267" s="62"/>
      <c r="O267" s="62"/>
      <c r="P267" s="62"/>
    </row>
    <row r="268" spans="14:16" ht="15.75" customHeight="1" x14ac:dyDescent="0.2">
      <c r="N268" s="62"/>
      <c r="O268" s="62"/>
      <c r="P268" s="62"/>
    </row>
    <row r="269" spans="14:16" ht="15.75" customHeight="1" x14ac:dyDescent="0.2">
      <c r="N269" s="62"/>
      <c r="O269" s="62"/>
      <c r="P269" s="62"/>
    </row>
    <row r="270" spans="14:16" ht="15.75" customHeight="1" x14ac:dyDescent="0.2">
      <c r="N270" s="62"/>
      <c r="O270" s="62"/>
      <c r="P270" s="62"/>
    </row>
    <row r="271" spans="14:16" ht="15.75" customHeight="1" x14ac:dyDescent="0.2">
      <c r="N271" s="62"/>
      <c r="O271" s="62"/>
      <c r="P271" s="62"/>
    </row>
    <row r="272" spans="14:16" ht="15.75" customHeight="1" x14ac:dyDescent="0.2">
      <c r="N272" s="62"/>
      <c r="O272" s="62"/>
      <c r="P272" s="62"/>
    </row>
    <row r="273" spans="14:16" ht="15.75" customHeight="1" x14ac:dyDescent="0.2">
      <c r="N273" s="62"/>
      <c r="O273" s="62"/>
      <c r="P273" s="62"/>
    </row>
    <row r="274" spans="14:16" ht="15.75" customHeight="1" x14ac:dyDescent="0.2">
      <c r="N274" s="62"/>
      <c r="O274" s="62"/>
      <c r="P274" s="62"/>
    </row>
    <row r="275" spans="14:16" ht="15.75" customHeight="1" x14ac:dyDescent="0.2">
      <c r="N275" s="62"/>
      <c r="O275" s="62"/>
      <c r="P275" s="62"/>
    </row>
    <row r="276" spans="14:16" ht="15.75" customHeight="1" x14ac:dyDescent="0.2">
      <c r="N276" s="62"/>
      <c r="O276" s="62"/>
      <c r="P276" s="62"/>
    </row>
    <row r="277" spans="14:16" ht="15.75" customHeight="1" x14ac:dyDescent="0.2">
      <c r="N277" s="62"/>
      <c r="O277" s="62"/>
      <c r="P277" s="62"/>
    </row>
    <row r="278" spans="14:16" ht="15.75" customHeight="1" x14ac:dyDescent="0.2">
      <c r="N278" s="62"/>
      <c r="O278" s="62"/>
      <c r="P278" s="62"/>
    </row>
    <row r="279" spans="14:16" ht="15.75" customHeight="1" x14ac:dyDescent="0.2">
      <c r="N279" s="62"/>
      <c r="O279" s="62"/>
      <c r="P279" s="62"/>
    </row>
    <row r="280" spans="14:16" ht="15.75" customHeight="1" x14ac:dyDescent="0.2">
      <c r="N280" s="62"/>
      <c r="O280" s="62"/>
      <c r="P280" s="62"/>
    </row>
    <row r="281" spans="14:16" ht="15.75" customHeight="1" x14ac:dyDescent="0.2">
      <c r="N281" s="62"/>
      <c r="O281" s="62"/>
      <c r="P281" s="62"/>
    </row>
    <row r="282" spans="14:16" ht="15.75" customHeight="1" x14ac:dyDescent="0.2">
      <c r="N282" s="62"/>
      <c r="O282" s="62"/>
      <c r="P282" s="62"/>
    </row>
    <row r="283" spans="14:16" ht="15.75" customHeight="1" x14ac:dyDescent="0.2">
      <c r="N283" s="62"/>
      <c r="O283" s="62"/>
      <c r="P283" s="62"/>
    </row>
    <row r="284" spans="14:16" ht="15.75" customHeight="1" x14ac:dyDescent="0.2">
      <c r="N284" s="62"/>
      <c r="O284" s="62"/>
      <c r="P284" s="62"/>
    </row>
    <row r="285" spans="14:16" ht="15.75" customHeight="1" x14ac:dyDescent="0.2">
      <c r="N285" s="62"/>
      <c r="O285" s="62"/>
      <c r="P285" s="62"/>
    </row>
    <row r="286" spans="14:16" ht="15.75" customHeight="1" x14ac:dyDescent="0.2">
      <c r="N286" s="62"/>
      <c r="O286" s="62"/>
      <c r="P286" s="62"/>
    </row>
    <row r="287" spans="14:16" ht="15.75" customHeight="1" x14ac:dyDescent="0.2">
      <c r="N287" s="62"/>
      <c r="O287" s="62"/>
      <c r="P287" s="62"/>
    </row>
    <row r="288" spans="14:16" ht="15.75" customHeight="1" x14ac:dyDescent="0.2">
      <c r="N288" s="62"/>
      <c r="O288" s="62"/>
      <c r="P288" s="62"/>
    </row>
    <row r="289" spans="14:16" ht="15.75" customHeight="1" x14ac:dyDescent="0.2">
      <c r="N289" s="62"/>
      <c r="O289" s="62"/>
      <c r="P289" s="62"/>
    </row>
    <row r="290" spans="14:16" ht="15.75" customHeight="1" x14ac:dyDescent="0.2">
      <c r="N290" s="62"/>
      <c r="O290" s="62"/>
      <c r="P290" s="62"/>
    </row>
    <row r="291" spans="14:16" ht="15.75" customHeight="1" x14ac:dyDescent="0.2">
      <c r="N291" s="62"/>
      <c r="O291" s="62"/>
      <c r="P291" s="62"/>
    </row>
    <row r="292" spans="14:16" ht="15.75" customHeight="1" x14ac:dyDescent="0.2">
      <c r="N292" s="62"/>
      <c r="O292" s="62"/>
      <c r="P292" s="62"/>
    </row>
    <row r="293" spans="14:16" ht="15.75" customHeight="1" x14ac:dyDescent="0.2">
      <c r="N293" s="62"/>
      <c r="O293" s="62"/>
      <c r="P293" s="62"/>
    </row>
    <row r="294" spans="14:16" ht="15.75" customHeight="1" x14ac:dyDescent="0.2">
      <c r="N294" s="62"/>
      <c r="O294" s="62"/>
      <c r="P294" s="62"/>
    </row>
    <row r="295" spans="14:16" ht="15.75" customHeight="1" x14ac:dyDescent="0.2">
      <c r="N295" s="62"/>
      <c r="O295" s="62"/>
      <c r="P295" s="62"/>
    </row>
    <row r="296" spans="14:16" ht="15.75" customHeight="1" x14ac:dyDescent="0.2">
      <c r="N296" s="62"/>
      <c r="O296" s="62"/>
      <c r="P296" s="62"/>
    </row>
    <row r="297" spans="14:16" ht="15.75" customHeight="1" x14ac:dyDescent="0.2">
      <c r="N297" s="62"/>
      <c r="O297" s="62"/>
      <c r="P297" s="62"/>
    </row>
    <row r="298" spans="14:16" ht="15.75" customHeight="1" x14ac:dyDescent="0.2">
      <c r="N298" s="62"/>
      <c r="O298" s="62"/>
      <c r="P298" s="62"/>
    </row>
    <row r="299" spans="14:16" ht="15.75" customHeight="1" x14ac:dyDescent="0.2">
      <c r="N299" s="62"/>
      <c r="O299" s="62"/>
      <c r="P299" s="62"/>
    </row>
    <row r="300" spans="14:16" ht="15.75" customHeight="1" x14ac:dyDescent="0.2">
      <c r="N300" s="62"/>
      <c r="O300" s="62"/>
      <c r="P300" s="62"/>
    </row>
    <row r="301" spans="14:16" ht="15.75" customHeight="1" x14ac:dyDescent="0.2">
      <c r="N301" s="62"/>
      <c r="O301" s="62"/>
      <c r="P301" s="62"/>
    </row>
    <row r="302" spans="14:16" ht="15.75" customHeight="1" x14ac:dyDescent="0.2">
      <c r="N302" s="62"/>
      <c r="O302" s="62"/>
      <c r="P302" s="62"/>
    </row>
    <row r="303" spans="14:16" ht="15.75" customHeight="1" x14ac:dyDescent="0.2">
      <c r="N303" s="62"/>
      <c r="O303" s="62"/>
      <c r="P303" s="62"/>
    </row>
    <row r="304" spans="14:16" ht="15.75" customHeight="1" x14ac:dyDescent="0.2">
      <c r="N304" s="62"/>
      <c r="O304" s="62"/>
      <c r="P304" s="62"/>
    </row>
    <row r="305" spans="14:16" ht="15.75" customHeight="1" x14ac:dyDescent="0.2">
      <c r="N305" s="62"/>
      <c r="O305" s="62"/>
      <c r="P305" s="62"/>
    </row>
    <row r="306" spans="14:16" ht="15.75" customHeight="1" x14ac:dyDescent="0.2">
      <c r="N306" s="62"/>
      <c r="O306" s="62"/>
      <c r="P306" s="62"/>
    </row>
    <row r="307" spans="14:16" ht="15.75" customHeight="1" x14ac:dyDescent="0.2">
      <c r="N307" s="62"/>
      <c r="O307" s="62"/>
      <c r="P307" s="62"/>
    </row>
    <row r="308" spans="14:16" ht="15.75" customHeight="1" x14ac:dyDescent="0.2">
      <c r="N308" s="62"/>
      <c r="O308" s="62"/>
      <c r="P308" s="62"/>
    </row>
    <row r="309" spans="14:16" ht="15.75" customHeight="1" x14ac:dyDescent="0.2">
      <c r="N309" s="62"/>
      <c r="O309" s="62"/>
      <c r="P309" s="62"/>
    </row>
    <row r="310" spans="14:16" ht="15.75" customHeight="1" x14ac:dyDescent="0.2">
      <c r="N310" s="62"/>
      <c r="O310" s="62"/>
      <c r="P310" s="62"/>
    </row>
    <row r="311" spans="14:16" ht="15.75" customHeight="1" x14ac:dyDescent="0.2">
      <c r="N311" s="62"/>
      <c r="O311" s="62"/>
      <c r="P311" s="62"/>
    </row>
    <row r="312" spans="14:16" ht="15.75" customHeight="1" x14ac:dyDescent="0.2">
      <c r="N312" s="62"/>
      <c r="O312" s="62"/>
      <c r="P312" s="62"/>
    </row>
    <row r="313" spans="14:16" ht="15.75" customHeight="1" x14ac:dyDescent="0.2">
      <c r="N313" s="62"/>
      <c r="O313" s="62"/>
      <c r="P313" s="62"/>
    </row>
    <row r="314" spans="14:16" ht="15.75" customHeight="1" x14ac:dyDescent="0.2">
      <c r="N314" s="62"/>
      <c r="O314" s="62"/>
      <c r="P314" s="62"/>
    </row>
    <row r="315" spans="14:16" ht="15.75" customHeight="1" x14ac:dyDescent="0.2">
      <c r="N315" s="62"/>
      <c r="O315" s="62"/>
      <c r="P315" s="62"/>
    </row>
    <row r="316" spans="14:16" ht="15.75" customHeight="1" x14ac:dyDescent="0.2">
      <c r="N316" s="62"/>
      <c r="O316" s="62"/>
      <c r="P316" s="62"/>
    </row>
    <row r="317" spans="14:16" ht="15.75" customHeight="1" x14ac:dyDescent="0.2">
      <c r="N317" s="62"/>
      <c r="O317" s="62"/>
      <c r="P317" s="62"/>
    </row>
    <row r="318" spans="14:16" ht="15.75" customHeight="1" x14ac:dyDescent="0.2">
      <c r="N318" s="62"/>
      <c r="O318" s="62"/>
      <c r="P318" s="62"/>
    </row>
    <row r="319" spans="14:16" ht="15.75" customHeight="1" x14ac:dyDescent="0.2">
      <c r="N319" s="62"/>
      <c r="O319" s="62"/>
      <c r="P319" s="62"/>
    </row>
    <row r="320" spans="14:16" ht="15.75" customHeight="1" x14ac:dyDescent="0.2">
      <c r="N320" s="62"/>
      <c r="O320" s="62"/>
      <c r="P320" s="62"/>
    </row>
    <row r="321" spans="14:16" ht="15.75" customHeight="1" x14ac:dyDescent="0.2">
      <c r="N321" s="62"/>
      <c r="O321" s="62"/>
      <c r="P321" s="62"/>
    </row>
    <row r="322" spans="14:16" ht="15.75" customHeight="1" x14ac:dyDescent="0.2">
      <c r="N322" s="62"/>
      <c r="O322" s="62"/>
      <c r="P322" s="62"/>
    </row>
    <row r="323" spans="14:16" ht="15.75" customHeight="1" x14ac:dyDescent="0.2">
      <c r="N323" s="62"/>
      <c r="O323" s="62"/>
      <c r="P323" s="62"/>
    </row>
    <row r="324" spans="14:16" ht="15.75" customHeight="1" x14ac:dyDescent="0.2">
      <c r="N324" s="62"/>
      <c r="O324" s="62"/>
      <c r="P324" s="62"/>
    </row>
    <row r="325" spans="14:16" ht="15.75" customHeight="1" x14ac:dyDescent="0.2">
      <c r="N325" s="62"/>
      <c r="O325" s="62"/>
      <c r="P325" s="62"/>
    </row>
    <row r="326" spans="14:16" ht="15.75" customHeight="1" x14ac:dyDescent="0.2">
      <c r="N326" s="62"/>
      <c r="O326" s="62"/>
      <c r="P326" s="62"/>
    </row>
    <row r="327" spans="14:16" ht="15.75" customHeight="1" x14ac:dyDescent="0.2">
      <c r="N327" s="62"/>
      <c r="O327" s="62"/>
      <c r="P327" s="62"/>
    </row>
    <row r="328" spans="14:16" ht="15.75" customHeight="1" x14ac:dyDescent="0.2">
      <c r="N328" s="62"/>
      <c r="O328" s="62"/>
      <c r="P328" s="62"/>
    </row>
    <row r="329" spans="14:16" ht="15.75" customHeight="1" x14ac:dyDescent="0.2">
      <c r="N329" s="62"/>
      <c r="O329" s="62"/>
      <c r="P329" s="62"/>
    </row>
    <row r="330" spans="14:16" ht="15.75" customHeight="1" x14ac:dyDescent="0.2">
      <c r="N330" s="62"/>
      <c r="O330" s="62"/>
      <c r="P330" s="62"/>
    </row>
    <row r="331" spans="14:16" ht="15.75" customHeight="1" x14ac:dyDescent="0.2">
      <c r="N331" s="62"/>
      <c r="O331" s="62"/>
      <c r="P331" s="62"/>
    </row>
    <row r="332" spans="14:16" ht="15.75" customHeight="1" x14ac:dyDescent="0.2">
      <c r="N332" s="62"/>
      <c r="O332" s="62"/>
      <c r="P332" s="62"/>
    </row>
    <row r="333" spans="14:16" ht="15.75" customHeight="1" x14ac:dyDescent="0.2">
      <c r="N333" s="62"/>
      <c r="O333" s="62"/>
      <c r="P333" s="62"/>
    </row>
    <row r="334" spans="14:16" ht="15.75" customHeight="1" x14ac:dyDescent="0.2">
      <c r="N334" s="62"/>
      <c r="O334" s="62"/>
      <c r="P334" s="62"/>
    </row>
    <row r="335" spans="14:16" ht="15.75" customHeight="1" x14ac:dyDescent="0.2">
      <c r="N335" s="62"/>
      <c r="O335" s="62"/>
      <c r="P335" s="62"/>
    </row>
    <row r="336" spans="14:16" ht="15.75" customHeight="1" x14ac:dyDescent="0.2">
      <c r="N336" s="62"/>
      <c r="O336" s="62"/>
      <c r="P336" s="62"/>
    </row>
    <row r="337" spans="14:16" ht="15.75" customHeight="1" x14ac:dyDescent="0.2">
      <c r="N337" s="62"/>
      <c r="O337" s="62"/>
      <c r="P337" s="62"/>
    </row>
    <row r="338" spans="14:16" ht="15.75" customHeight="1" x14ac:dyDescent="0.2">
      <c r="N338" s="62"/>
      <c r="O338" s="62"/>
      <c r="P338" s="62"/>
    </row>
    <row r="339" spans="14:16" ht="15.75" customHeight="1" x14ac:dyDescent="0.2">
      <c r="N339" s="62"/>
      <c r="O339" s="62"/>
      <c r="P339" s="62"/>
    </row>
    <row r="340" spans="14:16" ht="15.75" customHeight="1" x14ac:dyDescent="0.2">
      <c r="N340" s="62"/>
      <c r="O340" s="62"/>
      <c r="P340" s="62"/>
    </row>
    <row r="341" spans="14:16" ht="15.75" customHeight="1" x14ac:dyDescent="0.2">
      <c r="N341" s="62"/>
      <c r="O341" s="62"/>
      <c r="P341" s="62"/>
    </row>
    <row r="342" spans="14:16" ht="15.75" customHeight="1" x14ac:dyDescent="0.2">
      <c r="N342" s="62"/>
      <c r="O342" s="62"/>
      <c r="P342" s="62"/>
    </row>
    <row r="343" spans="14:16" ht="15.75" customHeight="1" x14ac:dyDescent="0.2">
      <c r="N343" s="62"/>
      <c r="O343" s="62"/>
      <c r="P343" s="62"/>
    </row>
    <row r="344" spans="14:16" ht="15.75" customHeight="1" x14ac:dyDescent="0.2">
      <c r="N344" s="62"/>
      <c r="O344" s="62"/>
      <c r="P344" s="62"/>
    </row>
    <row r="345" spans="14:16" ht="15.75" customHeight="1" x14ac:dyDescent="0.2">
      <c r="N345" s="62"/>
      <c r="O345" s="62"/>
      <c r="P345" s="62"/>
    </row>
    <row r="346" spans="14:16" ht="15.75" customHeight="1" x14ac:dyDescent="0.2">
      <c r="N346" s="62"/>
      <c r="O346" s="62"/>
      <c r="P346" s="62"/>
    </row>
    <row r="347" spans="14:16" ht="15.75" customHeight="1" x14ac:dyDescent="0.2">
      <c r="N347" s="62"/>
      <c r="O347" s="62"/>
      <c r="P347" s="62"/>
    </row>
    <row r="348" spans="14:16" ht="15.75" customHeight="1" x14ac:dyDescent="0.2">
      <c r="N348" s="62"/>
      <c r="O348" s="62"/>
      <c r="P348" s="62"/>
    </row>
    <row r="349" spans="14:16" ht="15.75" customHeight="1" x14ac:dyDescent="0.2">
      <c r="N349" s="62"/>
      <c r="O349" s="62"/>
      <c r="P349" s="62"/>
    </row>
    <row r="350" spans="14:16" ht="15.75" customHeight="1" x14ac:dyDescent="0.2">
      <c r="N350" s="62"/>
      <c r="O350" s="62"/>
      <c r="P350" s="62"/>
    </row>
    <row r="351" spans="14:16" ht="15.75" customHeight="1" x14ac:dyDescent="0.2">
      <c r="N351" s="62"/>
      <c r="O351" s="62"/>
      <c r="P351" s="62"/>
    </row>
    <row r="352" spans="14:16" ht="15.75" customHeight="1" x14ac:dyDescent="0.2">
      <c r="N352" s="62"/>
      <c r="O352" s="62"/>
      <c r="P352" s="62"/>
    </row>
    <row r="353" spans="14:16" ht="15.75" customHeight="1" x14ac:dyDescent="0.2">
      <c r="N353" s="62"/>
      <c r="O353" s="62"/>
      <c r="P353" s="62"/>
    </row>
    <row r="354" spans="14:16" ht="15.75" customHeight="1" x14ac:dyDescent="0.2">
      <c r="N354" s="62"/>
      <c r="O354" s="62"/>
      <c r="P354" s="62"/>
    </row>
    <row r="355" spans="14:16" ht="15.75" customHeight="1" x14ac:dyDescent="0.2">
      <c r="N355" s="62"/>
      <c r="O355" s="62"/>
      <c r="P355" s="62"/>
    </row>
    <row r="356" spans="14:16" ht="15.75" customHeight="1" x14ac:dyDescent="0.2">
      <c r="N356" s="62"/>
      <c r="O356" s="62"/>
      <c r="P356" s="62"/>
    </row>
    <row r="357" spans="14:16" ht="15.75" customHeight="1" x14ac:dyDescent="0.2">
      <c r="N357" s="62"/>
      <c r="O357" s="62"/>
      <c r="P357" s="62"/>
    </row>
    <row r="358" spans="14:16" ht="15.75" customHeight="1" x14ac:dyDescent="0.2">
      <c r="N358" s="62"/>
      <c r="O358" s="62"/>
      <c r="P358" s="62"/>
    </row>
    <row r="359" spans="14:16" ht="15.75" customHeight="1" x14ac:dyDescent="0.2">
      <c r="N359" s="62"/>
      <c r="O359" s="62"/>
      <c r="P359" s="62"/>
    </row>
    <row r="360" spans="14:16" ht="15.75" customHeight="1" x14ac:dyDescent="0.2">
      <c r="N360" s="62"/>
      <c r="O360" s="62"/>
      <c r="P360" s="62"/>
    </row>
    <row r="361" spans="14:16" ht="15.75" customHeight="1" x14ac:dyDescent="0.2">
      <c r="N361" s="62"/>
      <c r="O361" s="62"/>
      <c r="P361" s="62"/>
    </row>
    <row r="362" spans="14:16" ht="15.75" customHeight="1" x14ac:dyDescent="0.2">
      <c r="N362" s="62"/>
      <c r="O362" s="62"/>
      <c r="P362" s="62"/>
    </row>
    <row r="363" spans="14:16" ht="15.75" customHeight="1" x14ac:dyDescent="0.2">
      <c r="N363" s="62"/>
      <c r="O363" s="62"/>
      <c r="P363" s="62"/>
    </row>
    <row r="364" spans="14:16" ht="15.75" customHeight="1" x14ac:dyDescent="0.2">
      <c r="N364" s="62"/>
      <c r="O364" s="62"/>
      <c r="P364" s="62"/>
    </row>
    <row r="365" spans="14:16" ht="15.75" customHeight="1" x14ac:dyDescent="0.2">
      <c r="N365" s="62"/>
      <c r="O365" s="62"/>
      <c r="P365" s="62"/>
    </row>
    <row r="366" spans="14:16" ht="15.75" customHeight="1" x14ac:dyDescent="0.2">
      <c r="N366" s="62"/>
      <c r="O366" s="62"/>
      <c r="P366" s="62"/>
    </row>
    <row r="367" spans="14:16" ht="15.75" customHeight="1" x14ac:dyDescent="0.2">
      <c r="N367" s="62"/>
      <c r="O367" s="62"/>
      <c r="P367" s="62"/>
    </row>
    <row r="368" spans="14:16" ht="15.75" customHeight="1" x14ac:dyDescent="0.2">
      <c r="N368" s="62"/>
      <c r="O368" s="62"/>
      <c r="P368" s="62"/>
    </row>
    <row r="369" spans="14:16" ht="15.75" customHeight="1" x14ac:dyDescent="0.2">
      <c r="N369" s="62"/>
      <c r="O369" s="62"/>
      <c r="P369" s="62"/>
    </row>
    <row r="370" spans="14:16" ht="15.75" customHeight="1" x14ac:dyDescent="0.2">
      <c r="N370" s="62"/>
      <c r="O370" s="62"/>
      <c r="P370" s="62"/>
    </row>
    <row r="371" spans="14:16" ht="15.75" customHeight="1" x14ac:dyDescent="0.2">
      <c r="N371" s="62"/>
      <c r="O371" s="62"/>
      <c r="P371" s="62"/>
    </row>
    <row r="372" spans="14:16" ht="15.75" customHeight="1" x14ac:dyDescent="0.2">
      <c r="N372" s="62"/>
      <c r="O372" s="62"/>
      <c r="P372" s="62"/>
    </row>
    <row r="373" spans="14:16" ht="15.75" customHeight="1" x14ac:dyDescent="0.2">
      <c r="N373" s="62"/>
      <c r="O373" s="62"/>
      <c r="P373" s="62"/>
    </row>
    <row r="374" spans="14:16" ht="15.75" customHeight="1" x14ac:dyDescent="0.2">
      <c r="N374" s="62"/>
      <c r="O374" s="62"/>
      <c r="P374" s="62"/>
    </row>
    <row r="375" spans="14:16" ht="15.75" customHeight="1" x14ac:dyDescent="0.2">
      <c r="N375" s="62"/>
      <c r="O375" s="62"/>
      <c r="P375" s="62"/>
    </row>
    <row r="376" spans="14:16" ht="15.75" customHeight="1" x14ac:dyDescent="0.2">
      <c r="N376" s="62"/>
      <c r="O376" s="62"/>
      <c r="P376" s="62"/>
    </row>
    <row r="377" spans="14:16" ht="15.75" customHeight="1" x14ac:dyDescent="0.2">
      <c r="N377" s="62"/>
      <c r="O377" s="62"/>
      <c r="P377" s="62"/>
    </row>
    <row r="378" spans="14:16" ht="15.75" customHeight="1" x14ac:dyDescent="0.2">
      <c r="N378" s="62"/>
      <c r="O378" s="62"/>
      <c r="P378" s="62"/>
    </row>
    <row r="379" spans="14:16" ht="15.75" customHeight="1" x14ac:dyDescent="0.2">
      <c r="N379" s="62"/>
      <c r="O379" s="62"/>
      <c r="P379" s="62"/>
    </row>
    <row r="380" spans="14:16" ht="15.75" customHeight="1" x14ac:dyDescent="0.2">
      <c r="N380" s="62"/>
      <c r="O380" s="62"/>
      <c r="P380" s="62"/>
    </row>
    <row r="381" spans="14:16" ht="15.75" customHeight="1" x14ac:dyDescent="0.2">
      <c r="N381" s="62"/>
      <c r="O381" s="62"/>
      <c r="P381" s="62"/>
    </row>
    <row r="382" spans="14:16" ht="15.75" customHeight="1" x14ac:dyDescent="0.2">
      <c r="N382" s="62"/>
      <c r="O382" s="62"/>
      <c r="P382" s="62"/>
    </row>
    <row r="383" spans="14:16" ht="15.75" customHeight="1" x14ac:dyDescent="0.2">
      <c r="N383" s="62"/>
      <c r="O383" s="62"/>
      <c r="P383" s="62"/>
    </row>
    <row r="384" spans="14:16" ht="15.75" customHeight="1" x14ac:dyDescent="0.2">
      <c r="N384" s="62"/>
      <c r="O384" s="62"/>
      <c r="P384" s="62"/>
    </row>
    <row r="385" spans="14:16" ht="15.75" customHeight="1" x14ac:dyDescent="0.2">
      <c r="N385" s="62"/>
      <c r="O385" s="62"/>
      <c r="P385" s="62"/>
    </row>
    <row r="386" spans="14:16" ht="15.75" customHeight="1" x14ac:dyDescent="0.2">
      <c r="N386" s="62"/>
      <c r="O386" s="62"/>
      <c r="P386" s="62"/>
    </row>
    <row r="387" spans="14:16" ht="15.75" customHeight="1" x14ac:dyDescent="0.2">
      <c r="N387" s="62"/>
      <c r="O387" s="62"/>
      <c r="P387" s="62"/>
    </row>
    <row r="388" spans="14:16" ht="15.75" customHeight="1" x14ac:dyDescent="0.2">
      <c r="N388" s="62"/>
      <c r="O388" s="62"/>
      <c r="P388" s="62"/>
    </row>
    <row r="389" spans="14:16" ht="15.75" customHeight="1" x14ac:dyDescent="0.2">
      <c r="N389" s="62"/>
      <c r="O389" s="62"/>
      <c r="P389" s="62"/>
    </row>
    <row r="390" spans="14:16" ht="15.75" customHeight="1" x14ac:dyDescent="0.2">
      <c r="N390" s="62"/>
      <c r="O390" s="62"/>
      <c r="P390" s="62"/>
    </row>
    <row r="391" spans="14:16" ht="15.75" customHeight="1" x14ac:dyDescent="0.2">
      <c r="N391" s="62"/>
      <c r="O391" s="62"/>
      <c r="P391" s="62"/>
    </row>
    <row r="392" spans="14:16" ht="15.75" customHeight="1" x14ac:dyDescent="0.2">
      <c r="N392" s="62"/>
      <c r="O392" s="62"/>
      <c r="P392" s="62"/>
    </row>
    <row r="393" spans="14:16" ht="15.75" customHeight="1" x14ac:dyDescent="0.2">
      <c r="N393" s="62"/>
      <c r="O393" s="62"/>
      <c r="P393" s="62"/>
    </row>
    <row r="394" spans="14:16" ht="15.75" customHeight="1" x14ac:dyDescent="0.2">
      <c r="N394" s="62"/>
      <c r="O394" s="62"/>
      <c r="P394" s="62"/>
    </row>
    <row r="395" spans="14:16" ht="15.75" customHeight="1" x14ac:dyDescent="0.2">
      <c r="N395" s="62"/>
      <c r="O395" s="62"/>
      <c r="P395" s="62"/>
    </row>
    <row r="396" spans="14:16" ht="15.75" customHeight="1" x14ac:dyDescent="0.2">
      <c r="N396" s="62"/>
      <c r="O396" s="62"/>
      <c r="P396" s="62"/>
    </row>
    <row r="397" spans="14:16" ht="15.75" customHeight="1" x14ac:dyDescent="0.2">
      <c r="N397" s="62"/>
      <c r="O397" s="62"/>
      <c r="P397" s="62"/>
    </row>
    <row r="398" spans="14:16" ht="15.75" customHeight="1" x14ac:dyDescent="0.2">
      <c r="N398" s="62"/>
      <c r="O398" s="62"/>
      <c r="P398" s="62"/>
    </row>
    <row r="399" spans="14:16" ht="15.75" customHeight="1" x14ac:dyDescent="0.2">
      <c r="N399" s="62"/>
      <c r="O399" s="62"/>
      <c r="P399" s="62"/>
    </row>
    <row r="400" spans="14:16" ht="15.75" customHeight="1" x14ac:dyDescent="0.2">
      <c r="N400" s="62"/>
      <c r="O400" s="62"/>
      <c r="P400" s="62"/>
    </row>
    <row r="401" spans="14:16" ht="15.75" customHeight="1" x14ac:dyDescent="0.2">
      <c r="N401" s="62"/>
      <c r="O401" s="62"/>
      <c r="P401" s="62"/>
    </row>
    <row r="402" spans="14:16" ht="15.75" customHeight="1" x14ac:dyDescent="0.2">
      <c r="N402" s="62"/>
      <c r="O402" s="62"/>
      <c r="P402" s="62"/>
    </row>
    <row r="403" spans="14:16" ht="15.75" customHeight="1" x14ac:dyDescent="0.2">
      <c r="N403" s="62"/>
      <c r="O403" s="62"/>
      <c r="P403" s="62"/>
    </row>
    <row r="404" spans="14:16" ht="15.75" customHeight="1" x14ac:dyDescent="0.2">
      <c r="N404" s="62"/>
      <c r="O404" s="62"/>
      <c r="P404" s="62"/>
    </row>
    <row r="405" spans="14:16" ht="15.75" customHeight="1" x14ac:dyDescent="0.2">
      <c r="N405" s="62"/>
      <c r="O405" s="62"/>
      <c r="P405" s="62"/>
    </row>
    <row r="406" spans="14:16" ht="15.75" customHeight="1" x14ac:dyDescent="0.2">
      <c r="N406" s="62"/>
      <c r="O406" s="62"/>
      <c r="P406" s="62"/>
    </row>
    <row r="407" spans="14:16" ht="15.75" customHeight="1" x14ac:dyDescent="0.2">
      <c r="N407" s="62"/>
      <c r="O407" s="62"/>
      <c r="P407" s="62"/>
    </row>
    <row r="408" spans="14:16" ht="15.75" customHeight="1" x14ac:dyDescent="0.2">
      <c r="N408" s="62"/>
      <c r="O408" s="62"/>
      <c r="P408" s="62"/>
    </row>
    <row r="409" spans="14:16" ht="15.75" customHeight="1" x14ac:dyDescent="0.2">
      <c r="N409" s="62"/>
      <c r="O409" s="62"/>
      <c r="P409" s="62"/>
    </row>
    <row r="410" spans="14:16" ht="15.75" customHeight="1" x14ac:dyDescent="0.2">
      <c r="N410" s="62"/>
      <c r="O410" s="62"/>
      <c r="P410" s="62"/>
    </row>
    <row r="411" spans="14:16" ht="15.75" customHeight="1" x14ac:dyDescent="0.2">
      <c r="N411" s="62"/>
      <c r="O411" s="62"/>
      <c r="P411" s="62"/>
    </row>
    <row r="412" spans="14:16" ht="15.75" customHeight="1" x14ac:dyDescent="0.2">
      <c r="N412" s="62"/>
      <c r="O412" s="62"/>
      <c r="P412" s="62"/>
    </row>
    <row r="413" spans="14:16" ht="15.75" customHeight="1" x14ac:dyDescent="0.2">
      <c r="N413" s="62"/>
      <c r="O413" s="62"/>
      <c r="P413" s="62"/>
    </row>
    <row r="414" spans="14:16" ht="15.75" customHeight="1" x14ac:dyDescent="0.2">
      <c r="N414" s="62"/>
      <c r="O414" s="62"/>
      <c r="P414" s="62"/>
    </row>
    <row r="415" spans="14:16" ht="15.75" customHeight="1" x14ac:dyDescent="0.2">
      <c r="N415" s="62"/>
      <c r="O415" s="62"/>
      <c r="P415" s="62"/>
    </row>
    <row r="416" spans="14:16" ht="15.75" customHeight="1" x14ac:dyDescent="0.2">
      <c r="N416" s="62"/>
      <c r="O416" s="62"/>
      <c r="P416" s="62"/>
    </row>
    <row r="417" spans="14:16" ht="15.75" customHeight="1" x14ac:dyDescent="0.2">
      <c r="N417" s="62"/>
      <c r="O417" s="62"/>
      <c r="P417" s="62"/>
    </row>
    <row r="418" spans="14:16" ht="15.75" customHeight="1" x14ac:dyDescent="0.2">
      <c r="N418" s="62"/>
      <c r="O418" s="62"/>
      <c r="P418" s="62"/>
    </row>
    <row r="419" spans="14:16" ht="15.75" customHeight="1" x14ac:dyDescent="0.2">
      <c r="N419" s="62"/>
      <c r="O419" s="62"/>
      <c r="P419" s="62"/>
    </row>
    <row r="420" spans="14:16" ht="15.75" customHeight="1" x14ac:dyDescent="0.2">
      <c r="N420" s="62"/>
      <c r="O420" s="62"/>
      <c r="P420" s="62"/>
    </row>
    <row r="421" spans="14:16" ht="15.75" customHeight="1" x14ac:dyDescent="0.2">
      <c r="N421" s="62"/>
      <c r="O421" s="62"/>
      <c r="P421" s="62"/>
    </row>
    <row r="422" spans="14:16" ht="15.75" customHeight="1" x14ac:dyDescent="0.2">
      <c r="N422" s="62"/>
      <c r="O422" s="62"/>
      <c r="P422" s="62"/>
    </row>
    <row r="423" spans="14:16" ht="15.75" customHeight="1" x14ac:dyDescent="0.2">
      <c r="N423" s="62"/>
      <c r="O423" s="62"/>
      <c r="P423" s="62"/>
    </row>
    <row r="424" spans="14:16" ht="15.75" customHeight="1" x14ac:dyDescent="0.2">
      <c r="N424" s="62"/>
      <c r="O424" s="62"/>
      <c r="P424" s="62"/>
    </row>
    <row r="425" spans="14:16" ht="15.75" customHeight="1" x14ac:dyDescent="0.2">
      <c r="N425" s="62"/>
      <c r="O425" s="62"/>
      <c r="P425" s="62"/>
    </row>
    <row r="426" spans="14:16" ht="15.75" customHeight="1" x14ac:dyDescent="0.2">
      <c r="N426" s="62"/>
      <c r="O426" s="62"/>
      <c r="P426" s="62"/>
    </row>
    <row r="427" spans="14:16" ht="15.75" customHeight="1" x14ac:dyDescent="0.2">
      <c r="N427" s="62"/>
      <c r="O427" s="62"/>
      <c r="P427" s="62"/>
    </row>
    <row r="428" spans="14:16" ht="15.75" customHeight="1" x14ac:dyDescent="0.2">
      <c r="N428" s="62"/>
      <c r="O428" s="62"/>
      <c r="P428" s="62"/>
    </row>
    <row r="429" spans="14:16" ht="15.75" customHeight="1" x14ac:dyDescent="0.2">
      <c r="N429" s="62"/>
      <c r="O429" s="62"/>
      <c r="P429" s="62"/>
    </row>
    <row r="430" spans="14:16" ht="15.75" customHeight="1" x14ac:dyDescent="0.2">
      <c r="N430" s="62"/>
      <c r="O430" s="62"/>
      <c r="P430" s="62"/>
    </row>
    <row r="431" spans="14:16" ht="15.75" customHeight="1" x14ac:dyDescent="0.2">
      <c r="N431" s="62"/>
      <c r="O431" s="62"/>
      <c r="P431" s="62"/>
    </row>
    <row r="432" spans="14:16" ht="15.75" customHeight="1" x14ac:dyDescent="0.2">
      <c r="N432" s="62"/>
      <c r="O432" s="62"/>
      <c r="P432" s="62"/>
    </row>
    <row r="433" spans="14:16" ht="15.75" customHeight="1" x14ac:dyDescent="0.2">
      <c r="N433" s="62"/>
      <c r="O433" s="62"/>
      <c r="P433" s="62"/>
    </row>
    <row r="434" spans="14:16" ht="15.75" customHeight="1" x14ac:dyDescent="0.2">
      <c r="N434" s="62"/>
      <c r="O434" s="62"/>
      <c r="P434" s="62"/>
    </row>
    <row r="435" spans="14:16" ht="15.75" customHeight="1" x14ac:dyDescent="0.2">
      <c r="N435" s="62"/>
      <c r="O435" s="62"/>
      <c r="P435" s="62"/>
    </row>
    <row r="436" spans="14:16" ht="15.75" customHeight="1" x14ac:dyDescent="0.2">
      <c r="N436" s="62"/>
      <c r="O436" s="62"/>
      <c r="P436" s="62"/>
    </row>
    <row r="437" spans="14:16" ht="15.75" customHeight="1" x14ac:dyDescent="0.2">
      <c r="N437" s="62"/>
      <c r="O437" s="62"/>
      <c r="P437" s="62"/>
    </row>
    <row r="438" spans="14:16" ht="15.75" customHeight="1" x14ac:dyDescent="0.2">
      <c r="N438" s="62"/>
      <c r="O438" s="62"/>
      <c r="P438" s="62"/>
    </row>
    <row r="439" spans="14:16" ht="15.75" customHeight="1" x14ac:dyDescent="0.2">
      <c r="N439" s="62"/>
      <c r="O439" s="62"/>
      <c r="P439" s="62"/>
    </row>
    <row r="440" spans="14:16" ht="15.75" customHeight="1" x14ac:dyDescent="0.2">
      <c r="N440" s="62"/>
      <c r="O440" s="62"/>
      <c r="P440" s="62"/>
    </row>
    <row r="441" spans="14:16" ht="15.75" customHeight="1" x14ac:dyDescent="0.2">
      <c r="N441" s="62"/>
      <c r="O441" s="62"/>
      <c r="P441" s="62"/>
    </row>
    <row r="442" spans="14:16" ht="15.75" customHeight="1" x14ac:dyDescent="0.2">
      <c r="N442" s="62"/>
      <c r="O442" s="62"/>
      <c r="P442" s="62"/>
    </row>
    <row r="443" spans="14:16" ht="15.75" customHeight="1" x14ac:dyDescent="0.2">
      <c r="N443" s="62"/>
      <c r="O443" s="62"/>
      <c r="P443" s="62"/>
    </row>
    <row r="444" spans="14:16" ht="15.75" customHeight="1" x14ac:dyDescent="0.2">
      <c r="N444" s="62"/>
      <c r="O444" s="62"/>
      <c r="P444" s="62"/>
    </row>
    <row r="445" spans="14:16" ht="15.75" customHeight="1" x14ac:dyDescent="0.2">
      <c r="N445" s="62"/>
      <c r="O445" s="62"/>
      <c r="P445" s="62"/>
    </row>
    <row r="446" spans="14:16" ht="15.75" customHeight="1" x14ac:dyDescent="0.2">
      <c r="N446" s="62"/>
      <c r="O446" s="62"/>
      <c r="P446" s="62"/>
    </row>
    <row r="447" spans="14:16" ht="15.75" customHeight="1" x14ac:dyDescent="0.2">
      <c r="N447" s="62"/>
      <c r="O447" s="62"/>
      <c r="P447" s="62"/>
    </row>
    <row r="448" spans="14:16" ht="15.75" customHeight="1" x14ac:dyDescent="0.2">
      <c r="N448" s="62"/>
      <c r="O448" s="62"/>
      <c r="P448" s="62"/>
    </row>
    <row r="449" spans="14:16" ht="15.75" customHeight="1" x14ac:dyDescent="0.2">
      <c r="N449" s="62"/>
      <c r="O449" s="62"/>
      <c r="P449" s="62"/>
    </row>
    <row r="450" spans="14:16" ht="15.75" customHeight="1" x14ac:dyDescent="0.2">
      <c r="N450" s="62"/>
      <c r="O450" s="62"/>
      <c r="P450" s="62"/>
    </row>
    <row r="451" spans="14:16" ht="15.75" customHeight="1" x14ac:dyDescent="0.2">
      <c r="N451" s="62"/>
      <c r="O451" s="62"/>
      <c r="P451" s="62"/>
    </row>
    <row r="452" spans="14:16" ht="15.75" customHeight="1" x14ac:dyDescent="0.2">
      <c r="N452" s="62"/>
      <c r="O452" s="62"/>
      <c r="P452" s="62"/>
    </row>
    <row r="453" spans="14:16" ht="15.75" customHeight="1" x14ac:dyDescent="0.2">
      <c r="N453" s="62"/>
      <c r="O453" s="62"/>
      <c r="P453" s="62"/>
    </row>
    <row r="454" spans="14:16" ht="15.75" customHeight="1" x14ac:dyDescent="0.2">
      <c r="N454" s="62"/>
      <c r="O454" s="62"/>
      <c r="P454" s="62"/>
    </row>
    <row r="455" spans="14:16" ht="15.75" customHeight="1" x14ac:dyDescent="0.2">
      <c r="N455" s="62"/>
      <c r="O455" s="62"/>
      <c r="P455" s="62"/>
    </row>
    <row r="456" spans="14:16" ht="15.75" customHeight="1" x14ac:dyDescent="0.2">
      <c r="N456" s="62"/>
      <c r="O456" s="62"/>
      <c r="P456" s="62"/>
    </row>
    <row r="457" spans="14:16" ht="15.75" customHeight="1" x14ac:dyDescent="0.2">
      <c r="N457" s="62"/>
      <c r="O457" s="62"/>
      <c r="P457" s="62"/>
    </row>
    <row r="458" spans="14:16" ht="15.75" customHeight="1" x14ac:dyDescent="0.2">
      <c r="N458" s="62"/>
      <c r="O458" s="62"/>
      <c r="P458" s="62"/>
    </row>
    <row r="459" spans="14:16" ht="15.75" customHeight="1" x14ac:dyDescent="0.2">
      <c r="N459" s="62"/>
      <c r="O459" s="62"/>
      <c r="P459" s="62"/>
    </row>
    <row r="460" spans="14:16" ht="15.75" customHeight="1" x14ac:dyDescent="0.2">
      <c r="N460" s="62"/>
      <c r="O460" s="62"/>
      <c r="P460" s="62"/>
    </row>
    <row r="461" spans="14:16" ht="15.75" customHeight="1" x14ac:dyDescent="0.2">
      <c r="N461" s="62"/>
      <c r="O461" s="62"/>
      <c r="P461" s="62"/>
    </row>
    <row r="462" spans="14:16" ht="15.75" customHeight="1" x14ac:dyDescent="0.2">
      <c r="N462" s="62"/>
      <c r="O462" s="62"/>
      <c r="P462" s="62"/>
    </row>
    <row r="463" spans="14:16" ht="15.75" customHeight="1" x14ac:dyDescent="0.2">
      <c r="N463" s="62"/>
      <c r="O463" s="62"/>
      <c r="P463" s="62"/>
    </row>
    <row r="464" spans="14:16" ht="15.75" customHeight="1" x14ac:dyDescent="0.2">
      <c r="N464" s="62"/>
      <c r="O464" s="62"/>
      <c r="P464" s="62"/>
    </row>
    <row r="465" spans="14:16" ht="15.75" customHeight="1" x14ac:dyDescent="0.2">
      <c r="N465" s="62"/>
      <c r="O465" s="62"/>
      <c r="P465" s="62"/>
    </row>
    <row r="466" spans="14:16" ht="15.75" customHeight="1" x14ac:dyDescent="0.2">
      <c r="N466" s="62"/>
      <c r="O466" s="62"/>
      <c r="P466" s="62"/>
    </row>
    <row r="467" spans="14:16" ht="15.75" customHeight="1" x14ac:dyDescent="0.2">
      <c r="N467" s="62"/>
      <c r="O467" s="62"/>
      <c r="P467" s="62"/>
    </row>
    <row r="468" spans="14:16" ht="15.75" customHeight="1" x14ac:dyDescent="0.2">
      <c r="N468" s="62"/>
      <c r="O468" s="62"/>
      <c r="P468" s="62"/>
    </row>
    <row r="469" spans="14:16" ht="15.75" customHeight="1" x14ac:dyDescent="0.2">
      <c r="N469" s="62"/>
      <c r="O469" s="62"/>
      <c r="P469" s="62"/>
    </row>
    <row r="470" spans="14:16" ht="15.75" customHeight="1" x14ac:dyDescent="0.2">
      <c r="N470" s="62"/>
      <c r="O470" s="62"/>
      <c r="P470" s="62"/>
    </row>
    <row r="471" spans="14:16" ht="15.75" customHeight="1" x14ac:dyDescent="0.2">
      <c r="N471" s="62"/>
      <c r="O471" s="62"/>
      <c r="P471" s="62"/>
    </row>
    <row r="472" spans="14:16" ht="15.75" customHeight="1" x14ac:dyDescent="0.2">
      <c r="N472" s="62"/>
      <c r="O472" s="62"/>
      <c r="P472" s="62"/>
    </row>
    <row r="473" spans="14:16" ht="15.75" customHeight="1" x14ac:dyDescent="0.2">
      <c r="N473" s="62"/>
      <c r="O473" s="62"/>
      <c r="P473" s="62"/>
    </row>
    <row r="474" spans="14:16" ht="15.75" customHeight="1" x14ac:dyDescent="0.2">
      <c r="N474" s="62"/>
      <c r="O474" s="62"/>
      <c r="P474" s="62"/>
    </row>
    <row r="475" spans="14:16" ht="15.75" customHeight="1" x14ac:dyDescent="0.2">
      <c r="N475" s="62"/>
      <c r="O475" s="62"/>
      <c r="P475" s="62"/>
    </row>
    <row r="476" spans="14:16" ht="15.75" customHeight="1" x14ac:dyDescent="0.2">
      <c r="N476" s="62"/>
      <c r="O476" s="62"/>
      <c r="P476" s="62"/>
    </row>
    <row r="477" spans="14:16" ht="15.75" customHeight="1" x14ac:dyDescent="0.2">
      <c r="N477" s="62"/>
      <c r="O477" s="62"/>
      <c r="P477" s="62"/>
    </row>
    <row r="478" spans="14:16" ht="15.75" customHeight="1" x14ac:dyDescent="0.2">
      <c r="N478" s="62"/>
      <c r="O478" s="62"/>
      <c r="P478" s="62"/>
    </row>
    <row r="479" spans="14:16" ht="15.75" customHeight="1" x14ac:dyDescent="0.2">
      <c r="N479" s="62"/>
      <c r="O479" s="62"/>
      <c r="P479" s="62"/>
    </row>
    <row r="480" spans="14:16" ht="15.75" customHeight="1" x14ac:dyDescent="0.2">
      <c r="N480" s="62"/>
      <c r="O480" s="62"/>
      <c r="P480" s="62"/>
    </row>
    <row r="481" spans="14:16" ht="15.75" customHeight="1" x14ac:dyDescent="0.2">
      <c r="N481" s="62"/>
      <c r="O481" s="62"/>
      <c r="P481" s="62"/>
    </row>
    <row r="482" spans="14:16" ht="15.75" customHeight="1" x14ac:dyDescent="0.2">
      <c r="N482" s="62"/>
      <c r="O482" s="62"/>
      <c r="P482" s="62"/>
    </row>
    <row r="483" spans="14:16" ht="15.75" customHeight="1" x14ac:dyDescent="0.2">
      <c r="N483" s="62"/>
      <c r="O483" s="62"/>
      <c r="P483" s="62"/>
    </row>
    <row r="484" spans="14:16" ht="15.75" customHeight="1" x14ac:dyDescent="0.2">
      <c r="N484" s="62"/>
      <c r="O484" s="62"/>
      <c r="P484" s="62"/>
    </row>
    <row r="485" spans="14:16" ht="15.75" customHeight="1" x14ac:dyDescent="0.2">
      <c r="N485" s="62"/>
      <c r="O485" s="62"/>
      <c r="P485" s="62"/>
    </row>
    <row r="486" spans="14:16" ht="15.75" customHeight="1" x14ac:dyDescent="0.2">
      <c r="N486" s="62"/>
      <c r="O486" s="62"/>
      <c r="P486" s="62"/>
    </row>
    <row r="487" spans="14:16" ht="15.75" customHeight="1" x14ac:dyDescent="0.2">
      <c r="N487" s="62"/>
      <c r="O487" s="62"/>
      <c r="P487" s="62"/>
    </row>
    <row r="488" spans="14:16" ht="15.75" customHeight="1" x14ac:dyDescent="0.2">
      <c r="N488" s="62"/>
      <c r="O488" s="62"/>
      <c r="P488" s="62"/>
    </row>
    <row r="489" spans="14:16" ht="15.75" customHeight="1" x14ac:dyDescent="0.2">
      <c r="N489" s="62"/>
      <c r="O489" s="62"/>
      <c r="P489" s="62"/>
    </row>
    <row r="490" spans="14:16" ht="15.75" customHeight="1" x14ac:dyDescent="0.2">
      <c r="N490" s="62"/>
      <c r="O490" s="62"/>
      <c r="P490" s="62"/>
    </row>
    <row r="491" spans="14:16" ht="15.75" customHeight="1" x14ac:dyDescent="0.2">
      <c r="N491" s="62"/>
      <c r="O491" s="62"/>
      <c r="P491" s="62"/>
    </row>
    <row r="492" spans="14:16" ht="15.75" customHeight="1" x14ac:dyDescent="0.2">
      <c r="N492" s="62"/>
      <c r="O492" s="62"/>
      <c r="P492" s="62"/>
    </row>
    <row r="493" spans="14:16" ht="15.75" customHeight="1" x14ac:dyDescent="0.2">
      <c r="N493" s="62"/>
      <c r="O493" s="62"/>
      <c r="P493" s="62"/>
    </row>
    <row r="494" spans="14:16" ht="15.75" customHeight="1" x14ac:dyDescent="0.2">
      <c r="N494" s="62"/>
      <c r="O494" s="62"/>
      <c r="P494" s="62"/>
    </row>
    <row r="495" spans="14:16" ht="15.75" customHeight="1" x14ac:dyDescent="0.2">
      <c r="N495" s="62"/>
      <c r="O495" s="62"/>
      <c r="P495" s="62"/>
    </row>
    <row r="496" spans="14:16" ht="15.75" customHeight="1" x14ac:dyDescent="0.2">
      <c r="N496" s="62"/>
      <c r="O496" s="62"/>
      <c r="P496" s="62"/>
    </row>
    <row r="497" spans="14:16" ht="15.75" customHeight="1" x14ac:dyDescent="0.2">
      <c r="N497" s="62"/>
      <c r="O497" s="62"/>
      <c r="P497" s="62"/>
    </row>
    <row r="498" spans="14:16" ht="15.75" customHeight="1" x14ac:dyDescent="0.2">
      <c r="N498" s="62"/>
      <c r="O498" s="62"/>
      <c r="P498" s="62"/>
    </row>
    <row r="499" spans="14:16" ht="15.75" customHeight="1" x14ac:dyDescent="0.2">
      <c r="N499" s="62"/>
      <c r="O499" s="62"/>
      <c r="P499" s="62"/>
    </row>
    <row r="500" spans="14:16" ht="15.75" customHeight="1" x14ac:dyDescent="0.2">
      <c r="N500" s="62"/>
      <c r="O500" s="62"/>
      <c r="P500" s="62"/>
    </row>
    <row r="501" spans="14:16" ht="15.75" customHeight="1" x14ac:dyDescent="0.2">
      <c r="N501" s="62"/>
      <c r="O501" s="62"/>
      <c r="P501" s="62"/>
    </row>
    <row r="502" spans="14:16" ht="15.75" customHeight="1" x14ac:dyDescent="0.2">
      <c r="N502" s="62"/>
      <c r="O502" s="62"/>
      <c r="P502" s="62"/>
    </row>
    <row r="503" spans="14:16" ht="15.75" customHeight="1" x14ac:dyDescent="0.2">
      <c r="N503" s="62"/>
      <c r="O503" s="62"/>
      <c r="P503" s="62"/>
    </row>
    <row r="504" spans="14:16" ht="15.75" customHeight="1" x14ac:dyDescent="0.2">
      <c r="N504" s="62"/>
      <c r="O504" s="62"/>
      <c r="P504" s="62"/>
    </row>
    <row r="505" spans="14:16" ht="15.75" customHeight="1" x14ac:dyDescent="0.2">
      <c r="N505" s="62"/>
      <c r="O505" s="62"/>
      <c r="P505" s="62"/>
    </row>
    <row r="506" spans="14:16" ht="15.75" customHeight="1" x14ac:dyDescent="0.2">
      <c r="N506" s="62"/>
      <c r="O506" s="62"/>
      <c r="P506" s="62"/>
    </row>
    <row r="507" spans="14:16" ht="15.75" customHeight="1" x14ac:dyDescent="0.2">
      <c r="N507" s="62"/>
      <c r="O507" s="62"/>
      <c r="P507" s="62"/>
    </row>
    <row r="508" spans="14:16" ht="15.75" customHeight="1" x14ac:dyDescent="0.2">
      <c r="N508" s="62"/>
      <c r="O508" s="62"/>
      <c r="P508" s="62"/>
    </row>
    <row r="509" spans="14:16" ht="15.75" customHeight="1" x14ac:dyDescent="0.2">
      <c r="N509" s="62"/>
      <c r="O509" s="62"/>
      <c r="P509" s="62"/>
    </row>
    <row r="510" spans="14:16" ht="15.75" customHeight="1" x14ac:dyDescent="0.2">
      <c r="N510" s="62"/>
      <c r="O510" s="62"/>
      <c r="P510" s="62"/>
    </row>
    <row r="511" spans="14:16" ht="15.75" customHeight="1" x14ac:dyDescent="0.2">
      <c r="N511" s="62"/>
      <c r="O511" s="62"/>
      <c r="P511" s="62"/>
    </row>
    <row r="512" spans="14:16" ht="15.75" customHeight="1" x14ac:dyDescent="0.2">
      <c r="N512" s="62"/>
      <c r="O512" s="62"/>
      <c r="P512" s="62"/>
    </row>
    <row r="513" spans="14:16" ht="15.75" customHeight="1" x14ac:dyDescent="0.2">
      <c r="N513" s="62"/>
      <c r="O513" s="62"/>
      <c r="P513" s="62"/>
    </row>
    <row r="514" spans="14:16" ht="15.75" customHeight="1" x14ac:dyDescent="0.2">
      <c r="N514" s="62"/>
      <c r="O514" s="62"/>
      <c r="P514" s="62"/>
    </row>
    <row r="515" spans="14:16" ht="15.75" customHeight="1" x14ac:dyDescent="0.2">
      <c r="N515" s="62"/>
      <c r="O515" s="62"/>
      <c r="P515" s="62"/>
    </row>
    <row r="516" spans="14:16" ht="15.75" customHeight="1" x14ac:dyDescent="0.2">
      <c r="N516" s="62"/>
      <c r="O516" s="62"/>
      <c r="P516" s="62"/>
    </row>
    <row r="517" spans="14:16" ht="15.75" customHeight="1" x14ac:dyDescent="0.2">
      <c r="N517" s="62"/>
      <c r="O517" s="62"/>
      <c r="P517" s="62"/>
    </row>
    <row r="518" spans="14:16" ht="15.75" customHeight="1" x14ac:dyDescent="0.2">
      <c r="N518" s="62"/>
      <c r="O518" s="62"/>
      <c r="P518" s="62"/>
    </row>
    <row r="519" spans="14:16" ht="15.75" customHeight="1" x14ac:dyDescent="0.2">
      <c r="N519" s="62"/>
      <c r="O519" s="62"/>
      <c r="P519" s="62"/>
    </row>
    <row r="520" spans="14:16" ht="15.75" customHeight="1" x14ac:dyDescent="0.2">
      <c r="N520" s="62"/>
      <c r="O520" s="62"/>
      <c r="P520" s="62"/>
    </row>
    <row r="521" spans="14:16" ht="15.75" customHeight="1" x14ac:dyDescent="0.2">
      <c r="N521" s="62"/>
      <c r="O521" s="62"/>
      <c r="P521" s="62"/>
    </row>
    <row r="522" spans="14:16" ht="15.75" customHeight="1" x14ac:dyDescent="0.2">
      <c r="N522" s="62"/>
      <c r="O522" s="62"/>
      <c r="P522" s="62"/>
    </row>
    <row r="523" spans="14:16" ht="15.75" customHeight="1" x14ac:dyDescent="0.2">
      <c r="N523" s="62"/>
      <c r="O523" s="62"/>
      <c r="P523" s="62"/>
    </row>
    <row r="524" spans="14:16" ht="15.75" customHeight="1" x14ac:dyDescent="0.2">
      <c r="N524" s="62"/>
      <c r="O524" s="62"/>
      <c r="P524" s="62"/>
    </row>
    <row r="525" spans="14:16" ht="15.75" customHeight="1" x14ac:dyDescent="0.2">
      <c r="N525" s="62"/>
      <c r="O525" s="62"/>
      <c r="P525" s="62"/>
    </row>
    <row r="526" spans="14:16" ht="15.75" customHeight="1" x14ac:dyDescent="0.2">
      <c r="N526" s="62"/>
      <c r="O526" s="62"/>
      <c r="P526" s="62"/>
    </row>
    <row r="527" spans="14:16" ht="15.75" customHeight="1" x14ac:dyDescent="0.2">
      <c r="N527" s="62"/>
      <c r="O527" s="62"/>
      <c r="P527" s="62"/>
    </row>
    <row r="528" spans="14:16" ht="15.75" customHeight="1" x14ac:dyDescent="0.2">
      <c r="N528" s="62"/>
      <c r="O528" s="62"/>
      <c r="P528" s="62"/>
    </row>
    <row r="529" spans="14:16" ht="15.75" customHeight="1" x14ac:dyDescent="0.2">
      <c r="N529" s="62"/>
      <c r="O529" s="62"/>
      <c r="P529" s="62"/>
    </row>
    <row r="530" spans="14:16" ht="15.75" customHeight="1" x14ac:dyDescent="0.2">
      <c r="N530" s="62"/>
      <c r="O530" s="62"/>
      <c r="P530" s="62"/>
    </row>
    <row r="531" spans="14:16" ht="15.75" customHeight="1" x14ac:dyDescent="0.2">
      <c r="N531" s="62"/>
      <c r="O531" s="62"/>
      <c r="P531" s="62"/>
    </row>
    <row r="532" spans="14:16" ht="15.75" customHeight="1" x14ac:dyDescent="0.2">
      <c r="N532" s="62"/>
      <c r="O532" s="62"/>
      <c r="P532" s="62"/>
    </row>
    <row r="533" spans="14:16" ht="15.75" customHeight="1" x14ac:dyDescent="0.2">
      <c r="N533" s="62"/>
      <c r="O533" s="62"/>
      <c r="P533" s="62"/>
    </row>
    <row r="534" spans="14:16" ht="15.75" customHeight="1" x14ac:dyDescent="0.2">
      <c r="N534" s="62"/>
      <c r="O534" s="62"/>
      <c r="P534" s="62"/>
    </row>
    <row r="535" spans="14:16" ht="15.75" customHeight="1" x14ac:dyDescent="0.2">
      <c r="N535" s="62"/>
      <c r="O535" s="62"/>
      <c r="P535" s="62"/>
    </row>
    <row r="536" spans="14:16" ht="15.75" customHeight="1" x14ac:dyDescent="0.2">
      <c r="N536" s="62"/>
      <c r="O536" s="62"/>
      <c r="P536" s="62"/>
    </row>
    <row r="537" spans="14:16" ht="15.75" customHeight="1" x14ac:dyDescent="0.2">
      <c r="N537" s="62"/>
      <c r="O537" s="62"/>
      <c r="P537" s="62"/>
    </row>
    <row r="538" spans="14:16" ht="15.75" customHeight="1" x14ac:dyDescent="0.2">
      <c r="N538" s="62"/>
      <c r="O538" s="62"/>
      <c r="P538" s="62"/>
    </row>
    <row r="539" spans="14:16" ht="15.75" customHeight="1" x14ac:dyDescent="0.2">
      <c r="N539" s="62"/>
      <c r="O539" s="62"/>
      <c r="P539" s="62"/>
    </row>
    <row r="540" spans="14:16" ht="15.75" customHeight="1" x14ac:dyDescent="0.2">
      <c r="N540" s="62"/>
      <c r="O540" s="62"/>
      <c r="P540" s="62"/>
    </row>
    <row r="541" spans="14:16" ht="15.75" customHeight="1" x14ac:dyDescent="0.2">
      <c r="N541" s="62"/>
      <c r="O541" s="62"/>
      <c r="P541" s="62"/>
    </row>
    <row r="542" spans="14:16" ht="15.75" customHeight="1" x14ac:dyDescent="0.2">
      <c r="N542" s="62"/>
      <c r="O542" s="62"/>
      <c r="P542" s="62"/>
    </row>
    <row r="543" spans="14:16" ht="15.75" customHeight="1" x14ac:dyDescent="0.2">
      <c r="N543" s="62"/>
      <c r="O543" s="62"/>
      <c r="P543" s="62"/>
    </row>
    <row r="544" spans="14:16" ht="15.75" customHeight="1" x14ac:dyDescent="0.2">
      <c r="N544" s="62"/>
      <c r="O544" s="62"/>
      <c r="P544" s="62"/>
    </row>
    <row r="545" spans="14:16" ht="15.75" customHeight="1" x14ac:dyDescent="0.2">
      <c r="N545" s="62"/>
      <c r="O545" s="62"/>
      <c r="P545" s="62"/>
    </row>
    <row r="546" spans="14:16" ht="15.75" customHeight="1" x14ac:dyDescent="0.2">
      <c r="N546" s="62"/>
      <c r="O546" s="62"/>
      <c r="P546" s="62"/>
    </row>
    <row r="547" spans="14:16" ht="15.75" customHeight="1" x14ac:dyDescent="0.2">
      <c r="N547" s="62"/>
      <c r="O547" s="62"/>
      <c r="P547" s="62"/>
    </row>
    <row r="548" spans="14:16" ht="15.75" customHeight="1" x14ac:dyDescent="0.2">
      <c r="N548" s="62"/>
      <c r="O548" s="62"/>
      <c r="P548" s="62"/>
    </row>
    <row r="549" spans="14:16" ht="15.75" customHeight="1" x14ac:dyDescent="0.2">
      <c r="N549" s="62"/>
      <c r="O549" s="62"/>
      <c r="P549" s="62"/>
    </row>
    <row r="550" spans="14:16" ht="15.75" customHeight="1" x14ac:dyDescent="0.2">
      <c r="N550" s="62"/>
      <c r="O550" s="62"/>
      <c r="P550" s="62"/>
    </row>
    <row r="551" spans="14:16" ht="15.75" customHeight="1" x14ac:dyDescent="0.2">
      <c r="N551" s="62"/>
      <c r="O551" s="62"/>
      <c r="P551" s="62"/>
    </row>
    <row r="552" spans="14:16" ht="15.75" customHeight="1" x14ac:dyDescent="0.2">
      <c r="N552" s="62"/>
      <c r="O552" s="62"/>
      <c r="P552" s="62"/>
    </row>
    <row r="553" spans="14:16" ht="15.75" customHeight="1" x14ac:dyDescent="0.2">
      <c r="N553" s="62"/>
      <c r="O553" s="62"/>
      <c r="P553" s="62"/>
    </row>
    <row r="554" spans="14:16" ht="15.75" customHeight="1" x14ac:dyDescent="0.2">
      <c r="N554" s="62"/>
      <c r="O554" s="62"/>
      <c r="P554" s="62"/>
    </row>
    <row r="555" spans="14:16" ht="15.75" customHeight="1" x14ac:dyDescent="0.2">
      <c r="N555" s="62"/>
      <c r="O555" s="62"/>
      <c r="P555" s="62"/>
    </row>
    <row r="556" spans="14:16" ht="15.75" customHeight="1" x14ac:dyDescent="0.2">
      <c r="N556" s="62"/>
      <c r="O556" s="62"/>
      <c r="P556" s="62"/>
    </row>
    <row r="557" spans="14:16" ht="15.75" customHeight="1" x14ac:dyDescent="0.2">
      <c r="N557" s="62"/>
      <c r="O557" s="62"/>
      <c r="P557" s="62"/>
    </row>
    <row r="558" spans="14:16" ht="15.75" customHeight="1" x14ac:dyDescent="0.2">
      <c r="N558" s="62"/>
      <c r="O558" s="62"/>
      <c r="P558" s="62"/>
    </row>
    <row r="559" spans="14:16" ht="15.75" customHeight="1" x14ac:dyDescent="0.2">
      <c r="N559" s="62"/>
      <c r="O559" s="62"/>
      <c r="P559" s="62"/>
    </row>
    <row r="560" spans="14:16" ht="15.75" customHeight="1" x14ac:dyDescent="0.2">
      <c r="N560" s="62"/>
      <c r="O560" s="62"/>
      <c r="P560" s="62"/>
    </row>
    <row r="561" spans="14:16" ht="15.75" customHeight="1" x14ac:dyDescent="0.2">
      <c r="N561" s="62"/>
      <c r="O561" s="62"/>
      <c r="P561" s="62"/>
    </row>
    <row r="562" spans="14:16" ht="15.75" customHeight="1" x14ac:dyDescent="0.2">
      <c r="N562" s="62"/>
      <c r="O562" s="62"/>
      <c r="P562" s="62"/>
    </row>
    <row r="563" spans="14:16" ht="15.75" customHeight="1" x14ac:dyDescent="0.2">
      <c r="N563" s="62"/>
      <c r="O563" s="62"/>
      <c r="P563" s="62"/>
    </row>
    <row r="564" spans="14:16" ht="15.75" customHeight="1" x14ac:dyDescent="0.2">
      <c r="N564" s="62"/>
      <c r="O564" s="62"/>
      <c r="P564" s="62"/>
    </row>
    <row r="565" spans="14:16" ht="15.75" customHeight="1" x14ac:dyDescent="0.2">
      <c r="N565" s="62"/>
      <c r="O565" s="62"/>
      <c r="P565" s="62"/>
    </row>
    <row r="566" spans="14:16" ht="15.75" customHeight="1" x14ac:dyDescent="0.2">
      <c r="N566" s="62"/>
      <c r="O566" s="62"/>
      <c r="P566" s="62"/>
    </row>
    <row r="567" spans="14:16" ht="15.75" customHeight="1" x14ac:dyDescent="0.2">
      <c r="N567" s="62"/>
      <c r="O567" s="62"/>
      <c r="P567" s="62"/>
    </row>
    <row r="568" spans="14:16" ht="15.75" customHeight="1" x14ac:dyDescent="0.2">
      <c r="N568" s="62"/>
      <c r="O568" s="62"/>
      <c r="P568" s="62"/>
    </row>
    <row r="569" spans="14:16" ht="15.75" customHeight="1" x14ac:dyDescent="0.2">
      <c r="N569" s="62"/>
      <c r="O569" s="62"/>
      <c r="P569" s="62"/>
    </row>
    <row r="570" spans="14:16" ht="15.75" customHeight="1" x14ac:dyDescent="0.2">
      <c r="N570" s="62"/>
      <c r="O570" s="62"/>
      <c r="P570" s="62"/>
    </row>
    <row r="571" spans="14:16" ht="15.75" customHeight="1" x14ac:dyDescent="0.2">
      <c r="N571" s="62"/>
      <c r="O571" s="62"/>
      <c r="P571" s="62"/>
    </row>
    <row r="572" spans="14:16" ht="15.75" customHeight="1" x14ac:dyDescent="0.2">
      <c r="N572" s="62"/>
      <c r="O572" s="62"/>
      <c r="P572" s="62"/>
    </row>
    <row r="573" spans="14:16" ht="15.75" customHeight="1" x14ac:dyDescent="0.2">
      <c r="N573" s="62"/>
      <c r="O573" s="62"/>
      <c r="P573" s="62"/>
    </row>
    <row r="574" spans="14:16" ht="15.75" customHeight="1" x14ac:dyDescent="0.2">
      <c r="N574" s="62"/>
      <c r="O574" s="62"/>
      <c r="P574" s="62"/>
    </row>
    <row r="575" spans="14:16" ht="15.75" customHeight="1" x14ac:dyDescent="0.2">
      <c r="N575" s="62"/>
      <c r="O575" s="62"/>
      <c r="P575" s="62"/>
    </row>
    <row r="576" spans="14:16" ht="15.75" customHeight="1" x14ac:dyDescent="0.2">
      <c r="N576" s="62"/>
      <c r="O576" s="62"/>
      <c r="P576" s="62"/>
    </row>
    <row r="577" spans="14:16" ht="15.75" customHeight="1" x14ac:dyDescent="0.2">
      <c r="N577" s="62"/>
      <c r="O577" s="62"/>
      <c r="P577" s="62"/>
    </row>
    <row r="578" spans="14:16" ht="15.75" customHeight="1" x14ac:dyDescent="0.2">
      <c r="N578" s="62"/>
      <c r="O578" s="62"/>
      <c r="P578" s="62"/>
    </row>
    <row r="579" spans="14:16" ht="15.75" customHeight="1" x14ac:dyDescent="0.2">
      <c r="N579" s="62"/>
      <c r="O579" s="62"/>
      <c r="P579" s="62"/>
    </row>
    <row r="580" spans="14:16" ht="15.75" customHeight="1" x14ac:dyDescent="0.2">
      <c r="N580" s="62"/>
      <c r="O580" s="62"/>
      <c r="P580" s="62"/>
    </row>
    <row r="581" spans="14:16" ht="15.75" customHeight="1" x14ac:dyDescent="0.2">
      <c r="N581" s="62"/>
      <c r="O581" s="62"/>
      <c r="P581" s="62"/>
    </row>
    <row r="582" spans="14:16" ht="15.75" customHeight="1" x14ac:dyDescent="0.2">
      <c r="N582" s="62"/>
      <c r="O582" s="62"/>
      <c r="P582" s="62"/>
    </row>
    <row r="583" spans="14:16" ht="15.75" customHeight="1" x14ac:dyDescent="0.2">
      <c r="N583" s="62"/>
      <c r="O583" s="62"/>
      <c r="P583" s="62"/>
    </row>
    <row r="584" spans="14:16" ht="15.75" customHeight="1" x14ac:dyDescent="0.2">
      <c r="N584" s="62"/>
      <c r="O584" s="62"/>
      <c r="P584" s="62"/>
    </row>
    <row r="585" spans="14:16" ht="15.75" customHeight="1" x14ac:dyDescent="0.2">
      <c r="N585" s="62"/>
      <c r="O585" s="62"/>
      <c r="P585" s="62"/>
    </row>
    <row r="586" spans="14:16" ht="15.75" customHeight="1" x14ac:dyDescent="0.2">
      <c r="N586" s="62"/>
      <c r="O586" s="62"/>
      <c r="P586" s="62"/>
    </row>
    <row r="587" spans="14:16" ht="15.75" customHeight="1" x14ac:dyDescent="0.2">
      <c r="N587" s="62"/>
      <c r="O587" s="62"/>
      <c r="P587" s="62"/>
    </row>
    <row r="588" spans="14:16" ht="15.75" customHeight="1" x14ac:dyDescent="0.2">
      <c r="N588" s="62"/>
      <c r="O588" s="62"/>
      <c r="P588" s="62"/>
    </row>
    <row r="589" spans="14:16" ht="15.75" customHeight="1" x14ac:dyDescent="0.2">
      <c r="N589" s="62"/>
      <c r="O589" s="62"/>
      <c r="P589" s="62"/>
    </row>
    <row r="590" spans="14:16" ht="15.75" customHeight="1" x14ac:dyDescent="0.2">
      <c r="N590" s="62"/>
      <c r="O590" s="62"/>
      <c r="P590" s="62"/>
    </row>
    <row r="591" spans="14:16" ht="15.75" customHeight="1" x14ac:dyDescent="0.2">
      <c r="N591" s="62"/>
      <c r="O591" s="62"/>
      <c r="P591" s="62"/>
    </row>
    <row r="592" spans="14:16" ht="15.75" customHeight="1" x14ac:dyDescent="0.2">
      <c r="N592" s="62"/>
      <c r="O592" s="62"/>
      <c r="P592" s="62"/>
    </row>
    <row r="593" spans="14:16" ht="15.75" customHeight="1" x14ac:dyDescent="0.2">
      <c r="N593" s="62"/>
      <c r="O593" s="62"/>
      <c r="P593" s="62"/>
    </row>
    <row r="594" spans="14:16" ht="15.75" customHeight="1" x14ac:dyDescent="0.2">
      <c r="N594" s="62"/>
      <c r="O594" s="62"/>
      <c r="P594" s="62"/>
    </row>
    <row r="595" spans="14:16" ht="15.75" customHeight="1" x14ac:dyDescent="0.2">
      <c r="N595" s="62"/>
      <c r="O595" s="62"/>
      <c r="P595" s="62"/>
    </row>
    <row r="596" spans="14:16" ht="15.75" customHeight="1" x14ac:dyDescent="0.2">
      <c r="N596" s="62"/>
      <c r="O596" s="62"/>
      <c r="P596" s="62"/>
    </row>
    <row r="597" spans="14:16" ht="15.75" customHeight="1" x14ac:dyDescent="0.2">
      <c r="N597" s="62"/>
      <c r="O597" s="62"/>
      <c r="P597" s="62"/>
    </row>
    <row r="598" spans="14:16" ht="15.75" customHeight="1" x14ac:dyDescent="0.2">
      <c r="N598" s="62"/>
      <c r="O598" s="62"/>
      <c r="P598" s="62"/>
    </row>
    <row r="599" spans="14:16" ht="15.75" customHeight="1" x14ac:dyDescent="0.2">
      <c r="N599" s="62"/>
      <c r="O599" s="62"/>
      <c r="P599" s="62"/>
    </row>
    <row r="600" spans="14:16" ht="15.75" customHeight="1" x14ac:dyDescent="0.2">
      <c r="N600" s="62"/>
      <c r="O600" s="62"/>
      <c r="P600" s="62"/>
    </row>
    <row r="601" spans="14:16" ht="15.75" customHeight="1" x14ac:dyDescent="0.2">
      <c r="N601" s="62"/>
      <c r="O601" s="62"/>
      <c r="P601" s="62"/>
    </row>
    <row r="602" spans="14:16" ht="15.75" customHeight="1" x14ac:dyDescent="0.2">
      <c r="N602" s="62"/>
      <c r="O602" s="62"/>
      <c r="P602" s="62"/>
    </row>
    <row r="603" spans="14:16" ht="15.75" customHeight="1" x14ac:dyDescent="0.2">
      <c r="N603" s="62"/>
      <c r="O603" s="62"/>
      <c r="P603" s="62"/>
    </row>
    <row r="604" spans="14:16" ht="15.75" customHeight="1" x14ac:dyDescent="0.2">
      <c r="N604" s="62"/>
      <c r="O604" s="62"/>
      <c r="P604" s="62"/>
    </row>
    <row r="605" spans="14:16" ht="15.75" customHeight="1" x14ac:dyDescent="0.2">
      <c r="N605" s="62"/>
      <c r="O605" s="62"/>
      <c r="P605" s="62"/>
    </row>
    <row r="606" spans="14:16" ht="15.75" customHeight="1" x14ac:dyDescent="0.2">
      <c r="N606" s="62"/>
      <c r="O606" s="62"/>
      <c r="P606" s="62"/>
    </row>
    <row r="607" spans="14:16" ht="15.75" customHeight="1" x14ac:dyDescent="0.2">
      <c r="N607" s="62"/>
      <c r="O607" s="62"/>
      <c r="P607" s="62"/>
    </row>
    <row r="608" spans="14:16" ht="15.75" customHeight="1" x14ac:dyDescent="0.2">
      <c r="N608" s="62"/>
      <c r="O608" s="62"/>
      <c r="P608" s="62"/>
    </row>
    <row r="609" spans="14:16" ht="15.75" customHeight="1" x14ac:dyDescent="0.2">
      <c r="N609" s="62"/>
      <c r="O609" s="62"/>
      <c r="P609" s="62"/>
    </row>
    <row r="610" spans="14:16" ht="15.75" customHeight="1" x14ac:dyDescent="0.2">
      <c r="N610" s="62"/>
      <c r="O610" s="62"/>
      <c r="P610" s="62"/>
    </row>
    <row r="611" spans="14:16" ht="15.75" customHeight="1" x14ac:dyDescent="0.2">
      <c r="N611" s="62"/>
      <c r="O611" s="62"/>
      <c r="P611" s="62"/>
    </row>
    <row r="612" spans="14:16" ht="15.75" customHeight="1" x14ac:dyDescent="0.2">
      <c r="N612" s="62"/>
      <c r="O612" s="62"/>
      <c r="P612" s="62"/>
    </row>
    <row r="613" spans="14:16" ht="15.75" customHeight="1" x14ac:dyDescent="0.2">
      <c r="N613" s="62"/>
      <c r="O613" s="62"/>
      <c r="P613" s="62"/>
    </row>
    <row r="614" spans="14:16" ht="15.75" customHeight="1" x14ac:dyDescent="0.2">
      <c r="N614" s="62"/>
      <c r="O614" s="62"/>
      <c r="P614" s="62"/>
    </row>
    <row r="615" spans="14:16" ht="15.75" customHeight="1" x14ac:dyDescent="0.2">
      <c r="N615" s="62"/>
      <c r="O615" s="62"/>
      <c r="P615" s="62"/>
    </row>
    <row r="616" spans="14:16" ht="15.75" customHeight="1" x14ac:dyDescent="0.2">
      <c r="N616" s="62"/>
      <c r="O616" s="62"/>
      <c r="P616" s="62"/>
    </row>
    <row r="617" spans="14:16" ht="15.75" customHeight="1" x14ac:dyDescent="0.2">
      <c r="N617" s="62"/>
      <c r="O617" s="62"/>
      <c r="P617" s="62"/>
    </row>
    <row r="618" spans="14:16" ht="15.75" customHeight="1" x14ac:dyDescent="0.2">
      <c r="N618" s="62"/>
      <c r="O618" s="62"/>
      <c r="P618" s="62"/>
    </row>
    <row r="619" spans="14:16" ht="15.75" customHeight="1" x14ac:dyDescent="0.2">
      <c r="N619" s="62"/>
      <c r="O619" s="62"/>
      <c r="P619" s="62"/>
    </row>
    <row r="620" spans="14:16" ht="15.75" customHeight="1" x14ac:dyDescent="0.2">
      <c r="N620" s="62"/>
      <c r="O620" s="62"/>
      <c r="P620" s="62"/>
    </row>
    <row r="621" spans="14:16" ht="15.75" customHeight="1" x14ac:dyDescent="0.2">
      <c r="N621" s="62"/>
      <c r="O621" s="62"/>
      <c r="P621" s="62"/>
    </row>
    <row r="622" spans="14:16" ht="15.75" customHeight="1" x14ac:dyDescent="0.2">
      <c r="N622" s="62"/>
      <c r="O622" s="62"/>
      <c r="P622" s="62"/>
    </row>
    <row r="623" spans="14:16" ht="15.75" customHeight="1" x14ac:dyDescent="0.2">
      <c r="N623" s="62"/>
      <c r="O623" s="62"/>
      <c r="P623" s="62"/>
    </row>
    <row r="624" spans="14:16" ht="15.75" customHeight="1" x14ac:dyDescent="0.2">
      <c r="N624" s="62"/>
      <c r="O624" s="62"/>
      <c r="P624" s="62"/>
    </row>
    <row r="625" spans="14:16" ht="15.75" customHeight="1" x14ac:dyDescent="0.2">
      <c r="N625" s="62"/>
      <c r="O625" s="62"/>
      <c r="P625" s="62"/>
    </row>
    <row r="626" spans="14:16" ht="15.75" customHeight="1" x14ac:dyDescent="0.2">
      <c r="N626" s="62"/>
      <c r="O626" s="62"/>
      <c r="P626" s="62"/>
    </row>
    <row r="627" spans="14:16" ht="15.75" customHeight="1" x14ac:dyDescent="0.2">
      <c r="N627" s="62"/>
      <c r="O627" s="62"/>
      <c r="P627" s="62"/>
    </row>
    <row r="628" spans="14:16" ht="15.75" customHeight="1" x14ac:dyDescent="0.2">
      <c r="N628" s="62"/>
      <c r="O628" s="62"/>
      <c r="P628" s="62"/>
    </row>
    <row r="629" spans="14:16" ht="15.75" customHeight="1" x14ac:dyDescent="0.2">
      <c r="N629" s="62"/>
      <c r="O629" s="62"/>
      <c r="P629" s="62"/>
    </row>
    <row r="630" spans="14:16" ht="15.75" customHeight="1" x14ac:dyDescent="0.2">
      <c r="N630" s="62"/>
      <c r="O630" s="62"/>
      <c r="P630" s="62"/>
    </row>
    <row r="631" spans="14:16" ht="15.75" customHeight="1" x14ac:dyDescent="0.2">
      <c r="N631" s="62"/>
      <c r="O631" s="62"/>
      <c r="P631" s="62"/>
    </row>
    <row r="632" spans="14:16" ht="15.75" customHeight="1" x14ac:dyDescent="0.2">
      <c r="N632" s="62"/>
      <c r="O632" s="62"/>
      <c r="P632" s="62"/>
    </row>
    <row r="633" spans="14:16" ht="15.75" customHeight="1" x14ac:dyDescent="0.2">
      <c r="N633" s="62"/>
      <c r="O633" s="62"/>
      <c r="P633" s="62"/>
    </row>
    <row r="634" spans="14:16" ht="15.75" customHeight="1" x14ac:dyDescent="0.2">
      <c r="N634" s="62"/>
      <c r="O634" s="62"/>
      <c r="P634" s="62"/>
    </row>
    <row r="635" spans="14:16" ht="15.75" customHeight="1" x14ac:dyDescent="0.2">
      <c r="N635" s="62"/>
      <c r="O635" s="62"/>
      <c r="P635" s="62"/>
    </row>
    <row r="636" spans="14:16" ht="15.75" customHeight="1" x14ac:dyDescent="0.2">
      <c r="N636" s="62"/>
      <c r="O636" s="62"/>
      <c r="P636" s="62"/>
    </row>
    <row r="637" spans="14:16" ht="15.75" customHeight="1" x14ac:dyDescent="0.2">
      <c r="N637" s="62"/>
      <c r="O637" s="62"/>
      <c r="P637" s="62"/>
    </row>
    <row r="638" spans="14:16" ht="15.75" customHeight="1" x14ac:dyDescent="0.2">
      <c r="N638" s="62"/>
      <c r="O638" s="62"/>
      <c r="P638" s="62"/>
    </row>
    <row r="639" spans="14:16" ht="15.75" customHeight="1" x14ac:dyDescent="0.2">
      <c r="N639" s="62"/>
      <c r="O639" s="62"/>
      <c r="P639" s="62"/>
    </row>
    <row r="640" spans="14:16" ht="15.75" customHeight="1" x14ac:dyDescent="0.2">
      <c r="N640" s="62"/>
      <c r="O640" s="62"/>
      <c r="P640" s="62"/>
    </row>
    <row r="641" spans="14:16" ht="15.75" customHeight="1" x14ac:dyDescent="0.2">
      <c r="N641" s="62"/>
      <c r="O641" s="62"/>
      <c r="P641" s="62"/>
    </row>
    <row r="642" spans="14:16" ht="15.75" customHeight="1" x14ac:dyDescent="0.2">
      <c r="N642" s="62"/>
      <c r="O642" s="62"/>
      <c r="P642" s="62"/>
    </row>
    <row r="643" spans="14:16" ht="15.75" customHeight="1" x14ac:dyDescent="0.2">
      <c r="N643" s="62"/>
      <c r="O643" s="62"/>
      <c r="P643" s="62"/>
    </row>
    <row r="644" spans="14:16" ht="15.75" customHeight="1" x14ac:dyDescent="0.2">
      <c r="N644" s="62"/>
      <c r="O644" s="62"/>
      <c r="P644" s="62"/>
    </row>
    <row r="645" spans="14:16" ht="15.75" customHeight="1" x14ac:dyDescent="0.2">
      <c r="N645" s="62"/>
      <c r="O645" s="62"/>
      <c r="P645" s="62"/>
    </row>
    <row r="646" spans="14:16" ht="15.75" customHeight="1" x14ac:dyDescent="0.2">
      <c r="N646" s="62"/>
      <c r="O646" s="62"/>
      <c r="P646" s="62"/>
    </row>
    <row r="647" spans="14:16" ht="15.75" customHeight="1" x14ac:dyDescent="0.2">
      <c r="N647" s="62"/>
      <c r="O647" s="62"/>
      <c r="P647" s="62"/>
    </row>
    <row r="648" spans="14:16" ht="15.75" customHeight="1" x14ac:dyDescent="0.2">
      <c r="N648" s="62"/>
      <c r="O648" s="62"/>
      <c r="P648" s="62"/>
    </row>
    <row r="649" spans="14:16" ht="15.75" customHeight="1" x14ac:dyDescent="0.2">
      <c r="N649" s="62"/>
      <c r="O649" s="62"/>
      <c r="P649" s="62"/>
    </row>
    <row r="650" spans="14:16" ht="15.75" customHeight="1" x14ac:dyDescent="0.2">
      <c r="N650" s="62"/>
      <c r="O650" s="62"/>
      <c r="P650" s="62"/>
    </row>
    <row r="651" spans="14:16" ht="15.75" customHeight="1" x14ac:dyDescent="0.2">
      <c r="N651" s="62"/>
      <c r="O651" s="62"/>
      <c r="P651" s="62"/>
    </row>
    <row r="652" spans="14:16" ht="15.75" customHeight="1" x14ac:dyDescent="0.2">
      <c r="N652" s="62"/>
      <c r="O652" s="62"/>
      <c r="P652" s="62"/>
    </row>
    <row r="653" spans="14:16" ht="15.75" customHeight="1" x14ac:dyDescent="0.2">
      <c r="N653" s="62"/>
      <c r="O653" s="62"/>
      <c r="P653" s="62"/>
    </row>
    <row r="654" spans="14:16" ht="15.75" customHeight="1" x14ac:dyDescent="0.2">
      <c r="N654" s="62"/>
      <c r="O654" s="62"/>
      <c r="P654" s="62"/>
    </row>
    <row r="655" spans="14:16" ht="15.75" customHeight="1" x14ac:dyDescent="0.2">
      <c r="N655" s="62"/>
      <c r="O655" s="62"/>
      <c r="P655" s="62"/>
    </row>
    <row r="656" spans="14:16" ht="15.75" customHeight="1" x14ac:dyDescent="0.2">
      <c r="N656" s="62"/>
      <c r="O656" s="62"/>
      <c r="P656" s="62"/>
    </row>
    <row r="657" spans="14:16" ht="15.75" customHeight="1" x14ac:dyDescent="0.2">
      <c r="N657" s="62"/>
      <c r="O657" s="62"/>
      <c r="P657" s="62"/>
    </row>
    <row r="658" spans="14:16" ht="15.75" customHeight="1" x14ac:dyDescent="0.2">
      <c r="N658" s="62"/>
      <c r="O658" s="62"/>
      <c r="P658" s="62"/>
    </row>
    <row r="659" spans="14:16" ht="15.75" customHeight="1" x14ac:dyDescent="0.2">
      <c r="N659" s="62"/>
      <c r="O659" s="62"/>
      <c r="P659" s="62"/>
    </row>
    <row r="660" spans="14:16" ht="15.75" customHeight="1" x14ac:dyDescent="0.2">
      <c r="N660" s="62"/>
      <c r="O660" s="62"/>
      <c r="P660" s="62"/>
    </row>
    <row r="661" spans="14:16" ht="15.75" customHeight="1" x14ac:dyDescent="0.2">
      <c r="N661" s="62"/>
      <c r="O661" s="62"/>
      <c r="P661" s="62"/>
    </row>
    <row r="662" spans="14:16" ht="15.75" customHeight="1" x14ac:dyDescent="0.2">
      <c r="N662" s="62"/>
      <c r="O662" s="62"/>
      <c r="P662" s="62"/>
    </row>
    <row r="663" spans="14:16" ht="15.75" customHeight="1" x14ac:dyDescent="0.2">
      <c r="N663" s="62"/>
      <c r="O663" s="62"/>
      <c r="P663" s="62"/>
    </row>
    <row r="664" spans="14:16" ht="15.75" customHeight="1" x14ac:dyDescent="0.2">
      <c r="N664" s="62"/>
      <c r="O664" s="62"/>
      <c r="P664" s="62"/>
    </row>
    <row r="665" spans="14:16" ht="15.75" customHeight="1" x14ac:dyDescent="0.2">
      <c r="N665" s="62"/>
      <c r="O665" s="62"/>
      <c r="P665" s="62"/>
    </row>
    <row r="666" spans="14:16" ht="15.75" customHeight="1" x14ac:dyDescent="0.2">
      <c r="N666" s="62"/>
      <c r="O666" s="62"/>
      <c r="P666" s="62"/>
    </row>
    <row r="667" spans="14:16" ht="15.75" customHeight="1" x14ac:dyDescent="0.2">
      <c r="N667" s="62"/>
      <c r="O667" s="62"/>
      <c r="P667" s="62"/>
    </row>
    <row r="668" spans="14:16" ht="15.75" customHeight="1" x14ac:dyDescent="0.2">
      <c r="N668" s="62"/>
      <c r="O668" s="62"/>
      <c r="P668" s="62"/>
    </row>
    <row r="669" spans="14:16" ht="15.75" customHeight="1" x14ac:dyDescent="0.2">
      <c r="N669" s="62"/>
      <c r="O669" s="62"/>
      <c r="P669" s="62"/>
    </row>
    <row r="670" spans="14:16" ht="15.75" customHeight="1" x14ac:dyDescent="0.2">
      <c r="N670" s="62"/>
      <c r="O670" s="62"/>
      <c r="P670" s="62"/>
    </row>
    <row r="671" spans="14:16" ht="15.75" customHeight="1" x14ac:dyDescent="0.2">
      <c r="N671" s="62"/>
      <c r="O671" s="62"/>
      <c r="P671" s="62"/>
    </row>
    <row r="672" spans="14:16" ht="15.75" customHeight="1" x14ac:dyDescent="0.2">
      <c r="N672" s="62"/>
      <c r="O672" s="62"/>
      <c r="P672" s="62"/>
    </row>
    <row r="673" spans="14:16" ht="15.75" customHeight="1" x14ac:dyDescent="0.2">
      <c r="N673" s="62"/>
      <c r="O673" s="62"/>
      <c r="P673" s="62"/>
    </row>
    <row r="674" spans="14:16" ht="15.75" customHeight="1" x14ac:dyDescent="0.2">
      <c r="N674" s="62"/>
      <c r="O674" s="62"/>
      <c r="P674" s="62"/>
    </row>
    <row r="675" spans="14:16" ht="15.75" customHeight="1" x14ac:dyDescent="0.2">
      <c r="N675" s="62"/>
      <c r="O675" s="62"/>
      <c r="P675" s="62"/>
    </row>
    <row r="676" spans="14:16" ht="15.75" customHeight="1" x14ac:dyDescent="0.2">
      <c r="N676" s="62"/>
      <c r="O676" s="62"/>
      <c r="P676" s="62"/>
    </row>
    <row r="677" spans="14:16" ht="15.75" customHeight="1" x14ac:dyDescent="0.2">
      <c r="N677" s="62"/>
      <c r="O677" s="62"/>
      <c r="P677" s="62"/>
    </row>
    <row r="678" spans="14:16" ht="15.75" customHeight="1" x14ac:dyDescent="0.2">
      <c r="N678" s="62"/>
      <c r="O678" s="62"/>
      <c r="P678" s="62"/>
    </row>
    <row r="679" spans="14:16" ht="15.75" customHeight="1" x14ac:dyDescent="0.2">
      <c r="N679" s="62"/>
      <c r="O679" s="62"/>
      <c r="P679" s="62"/>
    </row>
    <row r="680" spans="14:16" ht="15.75" customHeight="1" x14ac:dyDescent="0.2">
      <c r="N680" s="62"/>
      <c r="O680" s="62"/>
      <c r="P680" s="62"/>
    </row>
    <row r="681" spans="14:16" ht="15.75" customHeight="1" x14ac:dyDescent="0.2">
      <c r="N681" s="62"/>
      <c r="O681" s="62"/>
      <c r="P681" s="62"/>
    </row>
    <row r="682" spans="14:16" ht="15.75" customHeight="1" x14ac:dyDescent="0.2">
      <c r="N682" s="62"/>
      <c r="O682" s="62"/>
      <c r="P682" s="62"/>
    </row>
    <row r="683" spans="14:16" ht="15.75" customHeight="1" x14ac:dyDescent="0.2">
      <c r="N683" s="62"/>
      <c r="O683" s="62"/>
      <c r="P683" s="62"/>
    </row>
    <row r="684" spans="14:16" ht="15.75" customHeight="1" x14ac:dyDescent="0.2">
      <c r="N684" s="62"/>
      <c r="O684" s="62"/>
      <c r="P684" s="62"/>
    </row>
    <row r="685" spans="14:16" ht="15.75" customHeight="1" x14ac:dyDescent="0.2">
      <c r="N685" s="62"/>
      <c r="O685" s="62"/>
      <c r="P685" s="62"/>
    </row>
    <row r="686" spans="14:16" ht="15.75" customHeight="1" x14ac:dyDescent="0.2">
      <c r="N686" s="62"/>
      <c r="O686" s="62"/>
      <c r="P686" s="62"/>
    </row>
    <row r="687" spans="14:16" ht="15.75" customHeight="1" x14ac:dyDescent="0.2">
      <c r="N687" s="62"/>
      <c r="O687" s="62"/>
      <c r="P687" s="62"/>
    </row>
    <row r="688" spans="14:16" ht="15.75" customHeight="1" x14ac:dyDescent="0.2">
      <c r="N688" s="62"/>
      <c r="O688" s="62"/>
      <c r="P688" s="62"/>
    </row>
    <row r="689" spans="14:16" ht="15.75" customHeight="1" x14ac:dyDescent="0.2">
      <c r="N689" s="62"/>
      <c r="O689" s="62"/>
      <c r="P689" s="62"/>
    </row>
    <row r="690" spans="14:16" ht="15.75" customHeight="1" x14ac:dyDescent="0.2">
      <c r="N690" s="62"/>
      <c r="O690" s="62"/>
      <c r="P690" s="62"/>
    </row>
    <row r="691" spans="14:16" ht="15.75" customHeight="1" x14ac:dyDescent="0.2">
      <c r="N691" s="62"/>
      <c r="O691" s="62"/>
      <c r="P691" s="62"/>
    </row>
    <row r="692" spans="14:16" ht="15.75" customHeight="1" x14ac:dyDescent="0.2">
      <c r="N692" s="62"/>
      <c r="O692" s="62"/>
      <c r="P692" s="62"/>
    </row>
    <row r="693" spans="14:16" ht="15.75" customHeight="1" x14ac:dyDescent="0.2">
      <c r="N693" s="62"/>
      <c r="O693" s="62"/>
      <c r="P693" s="62"/>
    </row>
    <row r="694" spans="14:16" ht="15.75" customHeight="1" x14ac:dyDescent="0.2">
      <c r="N694" s="62"/>
      <c r="O694" s="62"/>
      <c r="P694" s="62"/>
    </row>
    <row r="695" spans="14:16" ht="15.75" customHeight="1" x14ac:dyDescent="0.2">
      <c r="N695" s="62"/>
      <c r="O695" s="62"/>
      <c r="P695" s="62"/>
    </row>
    <row r="696" spans="14:16" ht="15.75" customHeight="1" x14ac:dyDescent="0.2">
      <c r="N696" s="62"/>
      <c r="O696" s="62"/>
      <c r="P696" s="62"/>
    </row>
    <row r="697" spans="14:16" ht="15.75" customHeight="1" x14ac:dyDescent="0.2">
      <c r="N697" s="62"/>
      <c r="O697" s="62"/>
      <c r="P697" s="62"/>
    </row>
    <row r="698" spans="14:16" ht="15.75" customHeight="1" x14ac:dyDescent="0.2">
      <c r="N698" s="62"/>
      <c r="O698" s="62"/>
      <c r="P698" s="62"/>
    </row>
    <row r="699" spans="14:16" ht="15.75" customHeight="1" x14ac:dyDescent="0.2">
      <c r="N699" s="62"/>
      <c r="O699" s="62"/>
      <c r="P699" s="62"/>
    </row>
    <row r="700" spans="14:16" ht="15.75" customHeight="1" x14ac:dyDescent="0.2">
      <c r="N700" s="62"/>
      <c r="O700" s="62"/>
      <c r="P700" s="62"/>
    </row>
    <row r="701" spans="14:16" ht="15.75" customHeight="1" x14ac:dyDescent="0.2">
      <c r="N701" s="62"/>
      <c r="O701" s="62"/>
      <c r="P701" s="62"/>
    </row>
    <row r="702" spans="14:16" ht="15.75" customHeight="1" x14ac:dyDescent="0.2">
      <c r="N702" s="62"/>
      <c r="O702" s="62"/>
      <c r="P702" s="62"/>
    </row>
    <row r="703" spans="14:16" ht="15.75" customHeight="1" x14ac:dyDescent="0.2">
      <c r="N703" s="62"/>
      <c r="O703" s="62"/>
      <c r="P703" s="62"/>
    </row>
    <row r="704" spans="14:16" ht="15.75" customHeight="1" x14ac:dyDescent="0.2">
      <c r="N704" s="62"/>
      <c r="O704" s="62"/>
      <c r="P704" s="62"/>
    </row>
    <row r="705" spans="14:16" ht="15.75" customHeight="1" x14ac:dyDescent="0.2">
      <c r="N705" s="62"/>
      <c r="O705" s="62"/>
      <c r="P705" s="62"/>
    </row>
    <row r="706" spans="14:16" ht="15.75" customHeight="1" x14ac:dyDescent="0.2">
      <c r="N706" s="62"/>
      <c r="O706" s="62"/>
      <c r="P706" s="62"/>
    </row>
    <row r="707" spans="14:16" ht="15.75" customHeight="1" x14ac:dyDescent="0.2">
      <c r="N707" s="62"/>
      <c r="O707" s="62"/>
      <c r="P707" s="62"/>
    </row>
    <row r="708" spans="14:16" ht="15.75" customHeight="1" x14ac:dyDescent="0.2">
      <c r="N708" s="62"/>
      <c r="O708" s="62"/>
      <c r="P708" s="62"/>
    </row>
    <row r="709" spans="14:16" ht="15.75" customHeight="1" x14ac:dyDescent="0.2">
      <c r="N709" s="62"/>
      <c r="O709" s="62"/>
      <c r="P709" s="62"/>
    </row>
    <row r="710" spans="14:16" ht="15.75" customHeight="1" x14ac:dyDescent="0.2">
      <c r="N710" s="62"/>
      <c r="O710" s="62"/>
      <c r="P710" s="62"/>
    </row>
    <row r="711" spans="14:16" ht="15.75" customHeight="1" x14ac:dyDescent="0.2">
      <c r="N711" s="62"/>
      <c r="O711" s="62"/>
      <c r="P711" s="62"/>
    </row>
    <row r="712" spans="14:16" ht="15.75" customHeight="1" x14ac:dyDescent="0.2">
      <c r="N712" s="62"/>
      <c r="O712" s="62"/>
      <c r="P712" s="62"/>
    </row>
    <row r="713" spans="14:16" ht="15.75" customHeight="1" x14ac:dyDescent="0.2">
      <c r="N713" s="62"/>
      <c r="O713" s="62"/>
      <c r="P713" s="62"/>
    </row>
    <row r="714" spans="14:16" ht="15.75" customHeight="1" x14ac:dyDescent="0.2">
      <c r="N714" s="62"/>
      <c r="O714" s="62"/>
      <c r="P714" s="62"/>
    </row>
    <row r="715" spans="14:16" ht="15.75" customHeight="1" x14ac:dyDescent="0.2">
      <c r="N715" s="62"/>
      <c r="O715" s="62"/>
      <c r="P715" s="62"/>
    </row>
    <row r="716" spans="14:16" ht="15.75" customHeight="1" x14ac:dyDescent="0.2">
      <c r="N716" s="62"/>
      <c r="O716" s="62"/>
      <c r="P716" s="62"/>
    </row>
    <row r="717" spans="14:16" ht="15.75" customHeight="1" x14ac:dyDescent="0.2">
      <c r="N717" s="62"/>
      <c r="O717" s="62"/>
      <c r="P717" s="62"/>
    </row>
    <row r="718" spans="14:16" ht="15.75" customHeight="1" x14ac:dyDescent="0.2">
      <c r="N718" s="62"/>
      <c r="O718" s="62"/>
      <c r="P718" s="62"/>
    </row>
    <row r="719" spans="14:16" ht="15.75" customHeight="1" x14ac:dyDescent="0.2">
      <c r="N719" s="62"/>
      <c r="O719" s="62"/>
      <c r="P719" s="62"/>
    </row>
    <row r="720" spans="14:16" ht="15.75" customHeight="1" x14ac:dyDescent="0.2">
      <c r="N720" s="62"/>
      <c r="O720" s="62"/>
      <c r="P720" s="62"/>
    </row>
    <row r="721" spans="14:16" ht="15.75" customHeight="1" x14ac:dyDescent="0.2">
      <c r="N721" s="62"/>
      <c r="O721" s="62"/>
      <c r="P721" s="62"/>
    </row>
    <row r="722" spans="14:16" ht="15.75" customHeight="1" x14ac:dyDescent="0.2">
      <c r="N722" s="62"/>
      <c r="O722" s="62"/>
      <c r="P722" s="62"/>
    </row>
    <row r="723" spans="14:16" ht="15.75" customHeight="1" x14ac:dyDescent="0.2">
      <c r="N723" s="62"/>
      <c r="O723" s="62"/>
      <c r="P723" s="62"/>
    </row>
    <row r="724" spans="14:16" ht="15.75" customHeight="1" x14ac:dyDescent="0.2">
      <c r="N724" s="62"/>
      <c r="O724" s="62"/>
      <c r="P724" s="62"/>
    </row>
    <row r="725" spans="14:16" ht="15.75" customHeight="1" x14ac:dyDescent="0.2">
      <c r="N725" s="62"/>
      <c r="O725" s="62"/>
      <c r="P725" s="62"/>
    </row>
    <row r="726" spans="14:16" ht="15.75" customHeight="1" x14ac:dyDescent="0.2">
      <c r="N726" s="62"/>
      <c r="O726" s="62"/>
      <c r="P726" s="62"/>
    </row>
    <row r="727" spans="14:16" ht="15.75" customHeight="1" x14ac:dyDescent="0.2">
      <c r="N727" s="62"/>
      <c r="O727" s="62"/>
      <c r="P727" s="62"/>
    </row>
    <row r="728" spans="14:16" ht="15.75" customHeight="1" x14ac:dyDescent="0.2">
      <c r="N728" s="62"/>
      <c r="O728" s="62"/>
      <c r="P728" s="62"/>
    </row>
    <row r="729" spans="14:16" ht="15.75" customHeight="1" x14ac:dyDescent="0.2">
      <c r="N729" s="62"/>
      <c r="O729" s="62"/>
      <c r="P729" s="62"/>
    </row>
    <row r="730" spans="14:16" ht="15.75" customHeight="1" x14ac:dyDescent="0.2">
      <c r="N730" s="62"/>
      <c r="O730" s="62"/>
      <c r="P730" s="62"/>
    </row>
    <row r="731" spans="14:16" ht="15.75" customHeight="1" x14ac:dyDescent="0.2">
      <c r="N731" s="62"/>
      <c r="O731" s="62"/>
      <c r="P731" s="62"/>
    </row>
    <row r="732" spans="14:16" ht="15.75" customHeight="1" x14ac:dyDescent="0.2">
      <c r="N732" s="62"/>
      <c r="O732" s="62"/>
      <c r="P732" s="62"/>
    </row>
    <row r="733" spans="14:16" ht="15.75" customHeight="1" x14ac:dyDescent="0.2">
      <c r="N733" s="62"/>
      <c r="O733" s="62"/>
      <c r="P733" s="62"/>
    </row>
    <row r="734" spans="14:16" ht="15.75" customHeight="1" x14ac:dyDescent="0.2">
      <c r="N734" s="62"/>
      <c r="O734" s="62"/>
      <c r="P734" s="62"/>
    </row>
    <row r="735" spans="14:16" ht="15.75" customHeight="1" x14ac:dyDescent="0.2">
      <c r="N735" s="62"/>
      <c r="O735" s="62"/>
      <c r="P735" s="62"/>
    </row>
    <row r="736" spans="14:16" ht="15.75" customHeight="1" x14ac:dyDescent="0.2">
      <c r="N736" s="62"/>
      <c r="O736" s="62"/>
      <c r="P736" s="62"/>
    </row>
    <row r="737" spans="14:16" ht="15.75" customHeight="1" x14ac:dyDescent="0.2">
      <c r="N737" s="62"/>
      <c r="O737" s="62"/>
      <c r="P737" s="62"/>
    </row>
    <row r="738" spans="14:16" ht="15.75" customHeight="1" x14ac:dyDescent="0.2">
      <c r="N738" s="62"/>
      <c r="O738" s="62"/>
      <c r="P738" s="62"/>
    </row>
    <row r="739" spans="14:16" ht="15.75" customHeight="1" x14ac:dyDescent="0.2">
      <c r="N739" s="62"/>
      <c r="O739" s="62"/>
      <c r="P739" s="62"/>
    </row>
    <row r="740" spans="14:16" ht="15.75" customHeight="1" x14ac:dyDescent="0.2">
      <c r="N740" s="62"/>
      <c r="O740" s="62"/>
      <c r="P740" s="62"/>
    </row>
    <row r="741" spans="14:16" ht="15.75" customHeight="1" x14ac:dyDescent="0.2">
      <c r="N741" s="62"/>
      <c r="O741" s="62"/>
      <c r="P741" s="62"/>
    </row>
    <row r="742" spans="14:16" ht="15.75" customHeight="1" x14ac:dyDescent="0.2">
      <c r="N742" s="62"/>
      <c r="O742" s="62"/>
      <c r="P742" s="62"/>
    </row>
    <row r="743" spans="14:16" ht="15.75" customHeight="1" x14ac:dyDescent="0.2">
      <c r="N743" s="62"/>
      <c r="O743" s="62"/>
      <c r="P743" s="62"/>
    </row>
    <row r="744" spans="14:16" ht="15.75" customHeight="1" x14ac:dyDescent="0.2">
      <c r="N744" s="62"/>
      <c r="O744" s="62"/>
      <c r="P744" s="62"/>
    </row>
    <row r="745" spans="14:16" ht="15.75" customHeight="1" x14ac:dyDescent="0.2">
      <c r="N745" s="62"/>
      <c r="O745" s="62"/>
      <c r="P745" s="62"/>
    </row>
    <row r="746" spans="14:16" ht="15.75" customHeight="1" x14ac:dyDescent="0.2">
      <c r="N746" s="62"/>
      <c r="O746" s="62"/>
      <c r="P746" s="62"/>
    </row>
    <row r="747" spans="14:16" ht="15.75" customHeight="1" x14ac:dyDescent="0.2">
      <c r="N747" s="62"/>
      <c r="O747" s="62"/>
      <c r="P747" s="62"/>
    </row>
    <row r="748" spans="14:16" ht="15.75" customHeight="1" x14ac:dyDescent="0.2">
      <c r="N748" s="62"/>
      <c r="O748" s="62"/>
      <c r="P748" s="62"/>
    </row>
    <row r="749" spans="14:16" ht="15.75" customHeight="1" x14ac:dyDescent="0.2">
      <c r="N749" s="62"/>
      <c r="O749" s="62"/>
      <c r="P749" s="62"/>
    </row>
    <row r="750" spans="14:16" ht="15.75" customHeight="1" x14ac:dyDescent="0.2">
      <c r="N750" s="62"/>
      <c r="O750" s="62"/>
      <c r="P750" s="62"/>
    </row>
    <row r="751" spans="14:16" ht="15.75" customHeight="1" x14ac:dyDescent="0.2">
      <c r="N751" s="62"/>
      <c r="O751" s="62"/>
      <c r="P751" s="62"/>
    </row>
    <row r="752" spans="14:16" ht="15.75" customHeight="1" x14ac:dyDescent="0.2">
      <c r="N752" s="62"/>
      <c r="O752" s="62"/>
      <c r="P752" s="62"/>
    </row>
    <row r="753" spans="14:16" ht="15.75" customHeight="1" x14ac:dyDescent="0.2">
      <c r="N753" s="62"/>
      <c r="O753" s="62"/>
      <c r="P753" s="62"/>
    </row>
    <row r="754" spans="14:16" ht="15.75" customHeight="1" x14ac:dyDescent="0.2">
      <c r="N754" s="62"/>
      <c r="O754" s="62"/>
      <c r="P754" s="62"/>
    </row>
    <row r="755" spans="14:16" ht="15.75" customHeight="1" x14ac:dyDescent="0.2">
      <c r="N755" s="62"/>
      <c r="O755" s="62"/>
      <c r="P755" s="62"/>
    </row>
    <row r="756" spans="14:16" ht="15.75" customHeight="1" x14ac:dyDescent="0.2">
      <c r="N756" s="62"/>
      <c r="O756" s="62"/>
      <c r="P756" s="62"/>
    </row>
    <row r="757" spans="14:16" ht="15.75" customHeight="1" x14ac:dyDescent="0.2">
      <c r="N757" s="62"/>
      <c r="O757" s="62"/>
      <c r="P757" s="62"/>
    </row>
    <row r="758" spans="14:16" ht="15.75" customHeight="1" x14ac:dyDescent="0.2">
      <c r="N758" s="62"/>
      <c r="O758" s="62"/>
      <c r="P758" s="62"/>
    </row>
    <row r="759" spans="14:16" ht="15.75" customHeight="1" x14ac:dyDescent="0.2">
      <c r="N759" s="62"/>
      <c r="O759" s="62"/>
      <c r="P759" s="62"/>
    </row>
    <row r="760" spans="14:16" ht="15.75" customHeight="1" x14ac:dyDescent="0.2">
      <c r="N760" s="62"/>
      <c r="O760" s="62"/>
      <c r="P760" s="62"/>
    </row>
    <row r="761" spans="14:16" ht="15.75" customHeight="1" x14ac:dyDescent="0.2">
      <c r="N761" s="62"/>
      <c r="O761" s="62"/>
      <c r="P761" s="62"/>
    </row>
    <row r="762" spans="14:16" ht="15.75" customHeight="1" x14ac:dyDescent="0.2">
      <c r="N762" s="62"/>
      <c r="O762" s="62"/>
      <c r="P762" s="62"/>
    </row>
    <row r="763" spans="14:16" ht="15.75" customHeight="1" x14ac:dyDescent="0.2">
      <c r="N763" s="62"/>
      <c r="O763" s="62"/>
      <c r="P763" s="62"/>
    </row>
    <row r="764" spans="14:16" ht="15.75" customHeight="1" x14ac:dyDescent="0.2">
      <c r="N764" s="62"/>
      <c r="O764" s="62"/>
      <c r="P764" s="62"/>
    </row>
    <row r="765" spans="14:16" ht="15.75" customHeight="1" x14ac:dyDescent="0.2">
      <c r="N765" s="62"/>
      <c r="O765" s="62"/>
      <c r="P765" s="62"/>
    </row>
    <row r="766" spans="14:16" ht="15.75" customHeight="1" x14ac:dyDescent="0.2">
      <c r="N766" s="62"/>
      <c r="O766" s="62"/>
      <c r="P766" s="62"/>
    </row>
    <row r="767" spans="14:16" ht="15.75" customHeight="1" x14ac:dyDescent="0.2">
      <c r="N767" s="62"/>
      <c r="O767" s="62"/>
      <c r="P767" s="62"/>
    </row>
    <row r="768" spans="14:16" ht="15.75" customHeight="1" x14ac:dyDescent="0.2">
      <c r="N768" s="62"/>
      <c r="O768" s="62"/>
      <c r="P768" s="62"/>
    </row>
    <row r="769" spans="14:16" ht="15.75" customHeight="1" x14ac:dyDescent="0.2">
      <c r="N769" s="62"/>
      <c r="O769" s="62"/>
      <c r="P769" s="62"/>
    </row>
    <row r="770" spans="14:16" ht="15.75" customHeight="1" x14ac:dyDescent="0.2">
      <c r="N770" s="62"/>
      <c r="O770" s="62"/>
      <c r="P770" s="62"/>
    </row>
    <row r="771" spans="14:16" ht="15.75" customHeight="1" x14ac:dyDescent="0.2">
      <c r="N771" s="62"/>
      <c r="O771" s="62"/>
      <c r="P771" s="62"/>
    </row>
    <row r="772" spans="14:16" ht="15.75" customHeight="1" x14ac:dyDescent="0.2">
      <c r="N772" s="62"/>
      <c r="O772" s="62"/>
      <c r="P772" s="62"/>
    </row>
    <row r="773" spans="14:16" ht="15.75" customHeight="1" x14ac:dyDescent="0.2">
      <c r="N773" s="62"/>
      <c r="O773" s="62"/>
      <c r="P773" s="62"/>
    </row>
    <row r="774" spans="14:16" ht="15.75" customHeight="1" x14ac:dyDescent="0.2">
      <c r="N774" s="62"/>
      <c r="O774" s="62"/>
      <c r="P774" s="62"/>
    </row>
    <row r="775" spans="14:16" ht="15.75" customHeight="1" x14ac:dyDescent="0.2">
      <c r="N775" s="62"/>
      <c r="O775" s="62"/>
      <c r="P775" s="62"/>
    </row>
    <row r="776" spans="14:16" ht="15.75" customHeight="1" x14ac:dyDescent="0.2">
      <c r="N776" s="62"/>
      <c r="O776" s="62"/>
      <c r="P776" s="62"/>
    </row>
    <row r="777" spans="14:16" ht="15.75" customHeight="1" x14ac:dyDescent="0.2">
      <c r="N777" s="62"/>
      <c r="O777" s="62"/>
      <c r="P777" s="62"/>
    </row>
    <row r="778" spans="14:16" ht="15.75" customHeight="1" x14ac:dyDescent="0.2">
      <c r="N778" s="62"/>
      <c r="O778" s="62"/>
      <c r="P778" s="62"/>
    </row>
    <row r="779" spans="14:16" ht="15.75" customHeight="1" x14ac:dyDescent="0.2">
      <c r="N779" s="62"/>
      <c r="O779" s="62"/>
      <c r="P779" s="62"/>
    </row>
    <row r="780" spans="14:16" ht="15.75" customHeight="1" x14ac:dyDescent="0.2">
      <c r="N780" s="62"/>
      <c r="O780" s="62"/>
      <c r="P780" s="62"/>
    </row>
    <row r="781" spans="14:16" ht="15.75" customHeight="1" x14ac:dyDescent="0.2">
      <c r="N781" s="62"/>
      <c r="O781" s="62"/>
      <c r="P781" s="62"/>
    </row>
    <row r="782" spans="14:16" ht="15.75" customHeight="1" x14ac:dyDescent="0.2">
      <c r="N782" s="62"/>
      <c r="O782" s="62"/>
      <c r="P782" s="62"/>
    </row>
    <row r="783" spans="14:16" ht="15.75" customHeight="1" x14ac:dyDescent="0.2">
      <c r="N783" s="62"/>
      <c r="O783" s="62"/>
      <c r="P783" s="62"/>
    </row>
    <row r="784" spans="14:16" ht="15.75" customHeight="1" x14ac:dyDescent="0.2">
      <c r="N784" s="62"/>
      <c r="O784" s="62"/>
      <c r="P784" s="62"/>
    </row>
    <row r="785" spans="14:16" ht="15.75" customHeight="1" x14ac:dyDescent="0.2">
      <c r="N785" s="62"/>
      <c r="O785" s="62"/>
      <c r="P785" s="62"/>
    </row>
    <row r="786" spans="14:16" ht="15.75" customHeight="1" x14ac:dyDescent="0.2">
      <c r="N786" s="62"/>
      <c r="O786" s="62"/>
      <c r="P786" s="62"/>
    </row>
    <row r="787" spans="14:16" ht="15.75" customHeight="1" x14ac:dyDescent="0.2">
      <c r="N787" s="62"/>
      <c r="O787" s="62"/>
      <c r="P787" s="62"/>
    </row>
    <row r="788" spans="14:16" ht="15.75" customHeight="1" x14ac:dyDescent="0.2">
      <c r="N788" s="62"/>
      <c r="O788" s="62"/>
      <c r="P788" s="62"/>
    </row>
    <row r="789" spans="14:16" ht="15.75" customHeight="1" x14ac:dyDescent="0.2">
      <c r="N789" s="62"/>
      <c r="O789" s="62"/>
      <c r="P789" s="62"/>
    </row>
    <row r="790" spans="14:16" ht="15.75" customHeight="1" x14ac:dyDescent="0.2">
      <c r="N790" s="62"/>
      <c r="O790" s="62"/>
      <c r="P790" s="62"/>
    </row>
    <row r="791" spans="14:16" ht="15.75" customHeight="1" x14ac:dyDescent="0.2">
      <c r="N791" s="62"/>
      <c r="O791" s="62"/>
      <c r="P791" s="62"/>
    </row>
    <row r="792" spans="14:16" ht="15.75" customHeight="1" x14ac:dyDescent="0.2">
      <c r="N792" s="62"/>
      <c r="O792" s="62"/>
      <c r="P792" s="62"/>
    </row>
    <row r="793" spans="14:16" ht="15.75" customHeight="1" x14ac:dyDescent="0.2">
      <c r="N793" s="62"/>
      <c r="O793" s="62"/>
      <c r="P793" s="62"/>
    </row>
    <row r="794" spans="14:16" ht="15.75" customHeight="1" x14ac:dyDescent="0.2">
      <c r="N794" s="62"/>
      <c r="O794" s="62"/>
      <c r="P794" s="62"/>
    </row>
    <row r="795" spans="14:16" ht="15.75" customHeight="1" x14ac:dyDescent="0.2">
      <c r="N795" s="62"/>
      <c r="O795" s="62"/>
      <c r="P795" s="62"/>
    </row>
    <row r="796" spans="14:16" ht="15.75" customHeight="1" x14ac:dyDescent="0.2">
      <c r="N796" s="62"/>
      <c r="O796" s="62"/>
      <c r="P796" s="62"/>
    </row>
    <row r="797" spans="14:16" ht="15.75" customHeight="1" x14ac:dyDescent="0.2">
      <c r="N797" s="62"/>
      <c r="O797" s="62"/>
      <c r="P797" s="62"/>
    </row>
    <row r="798" spans="14:16" ht="15.75" customHeight="1" x14ac:dyDescent="0.2">
      <c r="N798" s="62"/>
      <c r="O798" s="62"/>
      <c r="P798" s="62"/>
    </row>
    <row r="799" spans="14:16" ht="15.75" customHeight="1" x14ac:dyDescent="0.2">
      <c r="N799" s="62"/>
      <c r="O799" s="62"/>
      <c r="P799" s="62"/>
    </row>
    <row r="800" spans="14:16" ht="15.75" customHeight="1" x14ac:dyDescent="0.2">
      <c r="N800" s="62"/>
      <c r="O800" s="62"/>
      <c r="P800" s="62"/>
    </row>
    <row r="801" spans="14:16" ht="15.75" customHeight="1" x14ac:dyDescent="0.2">
      <c r="N801" s="62"/>
      <c r="O801" s="62"/>
      <c r="P801" s="62"/>
    </row>
    <row r="802" spans="14:16" ht="15.75" customHeight="1" x14ac:dyDescent="0.2">
      <c r="N802" s="62"/>
      <c r="O802" s="62"/>
      <c r="P802" s="62"/>
    </row>
    <row r="803" spans="14:16" ht="15.75" customHeight="1" x14ac:dyDescent="0.2">
      <c r="N803" s="62"/>
      <c r="O803" s="62"/>
      <c r="P803" s="62"/>
    </row>
    <row r="804" spans="14:16" ht="15.75" customHeight="1" x14ac:dyDescent="0.2">
      <c r="N804" s="62"/>
      <c r="O804" s="62"/>
      <c r="P804" s="62"/>
    </row>
    <row r="805" spans="14:16" ht="15.75" customHeight="1" x14ac:dyDescent="0.2">
      <c r="N805" s="62"/>
      <c r="O805" s="62"/>
      <c r="P805" s="62"/>
    </row>
    <row r="806" spans="14:16" ht="15.75" customHeight="1" x14ac:dyDescent="0.2">
      <c r="N806" s="62"/>
      <c r="O806" s="62"/>
      <c r="P806" s="62"/>
    </row>
    <row r="807" spans="14:16" ht="15.75" customHeight="1" x14ac:dyDescent="0.2">
      <c r="N807" s="62"/>
      <c r="O807" s="62"/>
      <c r="P807" s="62"/>
    </row>
    <row r="808" spans="14:16" ht="15.75" customHeight="1" x14ac:dyDescent="0.2">
      <c r="N808" s="62"/>
      <c r="O808" s="62"/>
      <c r="P808" s="62"/>
    </row>
    <row r="809" spans="14:16" ht="15.75" customHeight="1" x14ac:dyDescent="0.2">
      <c r="N809" s="62"/>
      <c r="O809" s="62"/>
      <c r="P809" s="62"/>
    </row>
    <row r="810" spans="14:16" ht="15.75" customHeight="1" x14ac:dyDescent="0.2">
      <c r="N810" s="62"/>
      <c r="O810" s="62"/>
      <c r="P810" s="62"/>
    </row>
    <row r="811" spans="14:16" ht="15.75" customHeight="1" x14ac:dyDescent="0.2">
      <c r="N811" s="62"/>
      <c r="O811" s="62"/>
      <c r="P811" s="62"/>
    </row>
    <row r="812" spans="14:16" ht="15.75" customHeight="1" x14ac:dyDescent="0.2">
      <c r="N812" s="62"/>
      <c r="O812" s="62"/>
      <c r="P812" s="62"/>
    </row>
    <row r="813" spans="14:16" ht="15.75" customHeight="1" x14ac:dyDescent="0.2">
      <c r="N813" s="62"/>
      <c r="O813" s="62"/>
      <c r="P813" s="62"/>
    </row>
    <row r="814" spans="14:16" ht="15.75" customHeight="1" x14ac:dyDescent="0.2">
      <c r="N814" s="62"/>
      <c r="O814" s="62"/>
      <c r="P814" s="62"/>
    </row>
    <row r="815" spans="14:16" ht="15.75" customHeight="1" x14ac:dyDescent="0.2">
      <c r="N815" s="62"/>
      <c r="O815" s="62"/>
      <c r="P815" s="62"/>
    </row>
    <row r="816" spans="14:16" ht="15.75" customHeight="1" x14ac:dyDescent="0.2">
      <c r="N816" s="62"/>
      <c r="O816" s="62"/>
      <c r="P816" s="62"/>
    </row>
    <row r="817" spans="14:16" ht="15.75" customHeight="1" x14ac:dyDescent="0.2">
      <c r="N817" s="62"/>
      <c r="O817" s="62"/>
      <c r="P817" s="62"/>
    </row>
    <row r="818" spans="14:16" ht="15.75" customHeight="1" x14ac:dyDescent="0.2">
      <c r="N818" s="62"/>
      <c r="O818" s="62"/>
      <c r="P818" s="62"/>
    </row>
    <row r="819" spans="14:16" ht="15.75" customHeight="1" x14ac:dyDescent="0.2">
      <c r="N819" s="62"/>
      <c r="O819" s="62"/>
      <c r="P819" s="62"/>
    </row>
    <row r="820" spans="14:16" ht="15.75" customHeight="1" x14ac:dyDescent="0.2">
      <c r="N820" s="62"/>
      <c r="O820" s="62"/>
      <c r="P820" s="62"/>
    </row>
    <row r="821" spans="14:16" ht="15.75" customHeight="1" x14ac:dyDescent="0.2">
      <c r="N821" s="62"/>
      <c r="O821" s="62"/>
      <c r="P821" s="62"/>
    </row>
    <row r="822" spans="14:16" ht="15.75" customHeight="1" x14ac:dyDescent="0.2">
      <c r="N822" s="62"/>
      <c r="O822" s="62"/>
      <c r="P822" s="62"/>
    </row>
    <row r="823" spans="14:16" ht="15.75" customHeight="1" x14ac:dyDescent="0.2">
      <c r="N823" s="62"/>
      <c r="O823" s="62"/>
      <c r="P823" s="62"/>
    </row>
    <row r="824" spans="14:16" ht="15.75" customHeight="1" x14ac:dyDescent="0.2">
      <c r="N824" s="62"/>
      <c r="O824" s="62"/>
      <c r="P824" s="62"/>
    </row>
    <row r="825" spans="14:16" ht="15.75" customHeight="1" x14ac:dyDescent="0.2">
      <c r="N825" s="62"/>
      <c r="O825" s="62"/>
      <c r="P825" s="62"/>
    </row>
    <row r="826" spans="14:16" ht="15.75" customHeight="1" x14ac:dyDescent="0.2">
      <c r="N826" s="62"/>
      <c r="O826" s="62"/>
      <c r="P826" s="62"/>
    </row>
    <row r="827" spans="14:16" ht="15.75" customHeight="1" x14ac:dyDescent="0.2">
      <c r="N827" s="62"/>
      <c r="O827" s="62"/>
      <c r="P827" s="62"/>
    </row>
    <row r="828" spans="14:16" ht="15.75" customHeight="1" x14ac:dyDescent="0.2">
      <c r="N828" s="62"/>
      <c r="O828" s="62"/>
      <c r="P828" s="62"/>
    </row>
    <row r="829" spans="14:16" ht="15.75" customHeight="1" x14ac:dyDescent="0.2">
      <c r="N829" s="62"/>
      <c r="O829" s="62"/>
      <c r="P829" s="62"/>
    </row>
    <row r="830" spans="14:16" ht="15.75" customHeight="1" x14ac:dyDescent="0.2">
      <c r="N830" s="62"/>
      <c r="O830" s="62"/>
      <c r="P830" s="62"/>
    </row>
    <row r="831" spans="14:16" ht="15.75" customHeight="1" x14ac:dyDescent="0.2">
      <c r="N831" s="62"/>
      <c r="O831" s="62"/>
      <c r="P831" s="62"/>
    </row>
    <row r="832" spans="14:16" ht="15.75" customHeight="1" x14ac:dyDescent="0.2">
      <c r="N832" s="62"/>
      <c r="O832" s="62"/>
      <c r="P832" s="62"/>
    </row>
    <row r="833" spans="14:16" ht="15.75" customHeight="1" x14ac:dyDescent="0.2">
      <c r="N833" s="62"/>
      <c r="O833" s="62"/>
      <c r="P833" s="62"/>
    </row>
    <row r="834" spans="14:16" ht="15.75" customHeight="1" x14ac:dyDescent="0.2">
      <c r="N834" s="62"/>
      <c r="O834" s="62"/>
      <c r="P834" s="62"/>
    </row>
    <row r="835" spans="14:16" ht="15.75" customHeight="1" x14ac:dyDescent="0.2">
      <c r="N835" s="62"/>
      <c r="O835" s="62"/>
      <c r="P835" s="62"/>
    </row>
    <row r="836" spans="14:16" ht="15.75" customHeight="1" x14ac:dyDescent="0.2">
      <c r="N836" s="62"/>
      <c r="O836" s="62"/>
      <c r="P836" s="62"/>
    </row>
    <row r="837" spans="14:16" ht="15.75" customHeight="1" x14ac:dyDescent="0.2">
      <c r="N837" s="62"/>
      <c r="O837" s="62"/>
      <c r="P837" s="62"/>
    </row>
    <row r="838" spans="14:16" ht="15.75" customHeight="1" x14ac:dyDescent="0.2">
      <c r="N838" s="62"/>
      <c r="O838" s="62"/>
      <c r="P838" s="62"/>
    </row>
    <row r="839" spans="14:16" ht="15.75" customHeight="1" x14ac:dyDescent="0.2">
      <c r="N839" s="62"/>
      <c r="O839" s="62"/>
      <c r="P839" s="62"/>
    </row>
    <row r="840" spans="14:16" ht="15.75" customHeight="1" x14ac:dyDescent="0.2">
      <c r="N840" s="62"/>
      <c r="O840" s="62"/>
      <c r="P840" s="62"/>
    </row>
    <row r="841" spans="14:16" ht="15.75" customHeight="1" x14ac:dyDescent="0.2">
      <c r="N841" s="62"/>
      <c r="O841" s="62"/>
      <c r="P841" s="62"/>
    </row>
    <row r="842" spans="14:16" ht="15.75" customHeight="1" x14ac:dyDescent="0.2">
      <c r="N842" s="62"/>
      <c r="O842" s="62"/>
      <c r="P842" s="62"/>
    </row>
    <row r="843" spans="14:16" ht="15.75" customHeight="1" x14ac:dyDescent="0.2">
      <c r="N843" s="62"/>
      <c r="O843" s="62"/>
      <c r="P843" s="62"/>
    </row>
    <row r="844" spans="14:16" ht="15.75" customHeight="1" x14ac:dyDescent="0.2">
      <c r="N844" s="62"/>
      <c r="O844" s="62"/>
      <c r="P844" s="62"/>
    </row>
    <row r="845" spans="14:16" ht="15.75" customHeight="1" x14ac:dyDescent="0.2">
      <c r="N845" s="62"/>
      <c r="O845" s="62"/>
      <c r="P845" s="62"/>
    </row>
    <row r="846" spans="14:16" ht="15.75" customHeight="1" x14ac:dyDescent="0.2">
      <c r="N846" s="62"/>
      <c r="O846" s="62"/>
      <c r="P846" s="62"/>
    </row>
    <row r="847" spans="14:16" ht="15.75" customHeight="1" x14ac:dyDescent="0.2">
      <c r="N847" s="62"/>
      <c r="O847" s="62"/>
      <c r="P847" s="62"/>
    </row>
    <row r="848" spans="14:16" ht="15.75" customHeight="1" x14ac:dyDescent="0.2">
      <c r="N848" s="62"/>
      <c r="O848" s="62"/>
      <c r="P848" s="62"/>
    </row>
    <row r="849" spans="14:16" ht="15.75" customHeight="1" x14ac:dyDescent="0.2">
      <c r="N849" s="62"/>
      <c r="O849" s="62"/>
      <c r="P849" s="62"/>
    </row>
    <row r="850" spans="14:16" ht="15.75" customHeight="1" x14ac:dyDescent="0.2">
      <c r="N850" s="62"/>
      <c r="O850" s="62"/>
      <c r="P850" s="62"/>
    </row>
    <row r="851" spans="14:16" ht="15.75" customHeight="1" x14ac:dyDescent="0.2">
      <c r="N851" s="62"/>
      <c r="O851" s="62"/>
      <c r="P851" s="62"/>
    </row>
    <row r="852" spans="14:16" ht="15.75" customHeight="1" x14ac:dyDescent="0.2">
      <c r="N852" s="62"/>
      <c r="O852" s="62"/>
      <c r="P852" s="62"/>
    </row>
    <row r="853" spans="14:16" ht="15.75" customHeight="1" x14ac:dyDescent="0.2">
      <c r="N853" s="62"/>
      <c r="O853" s="62"/>
      <c r="P853" s="62"/>
    </row>
    <row r="854" spans="14:16" ht="15.75" customHeight="1" x14ac:dyDescent="0.2">
      <c r="N854" s="62"/>
      <c r="O854" s="62"/>
      <c r="P854" s="62"/>
    </row>
    <row r="855" spans="14:16" ht="15.75" customHeight="1" x14ac:dyDescent="0.2">
      <c r="N855" s="62"/>
      <c r="O855" s="62"/>
      <c r="P855" s="62"/>
    </row>
    <row r="856" spans="14:16" ht="15.75" customHeight="1" x14ac:dyDescent="0.2">
      <c r="N856" s="62"/>
      <c r="O856" s="62"/>
      <c r="P856" s="62"/>
    </row>
    <row r="857" spans="14:16" ht="15.75" customHeight="1" x14ac:dyDescent="0.2">
      <c r="N857" s="62"/>
      <c r="O857" s="62"/>
      <c r="P857" s="62"/>
    </row>
    <row r="858" spans="14:16" ht="15.75" customHeight="1" x14ac:dyDescent="0.2">
      <c r="N858" s="62"/>
      <c r="O858" s="62"/>
      <c r="P858" s="62"/>
    </row>
    <row r="859" spans="14:16" ht="15.75" customHeight="1" x14ac:dyDescent="0.2">
      <c r="N859" s="62"/>
      <c r="O859" s="62"/>
      <c r="P859" s="62"/>
    </row>
    <row r="860" spans="14:16" ht="15.75" customHeight="1" x14ac:dyDescent="0.2">
      <c r="N860" s="62"/>
      <c r="O860" s="62"/>
      <c r="P860" s="62"/>
    </row>
    <row r="861" spans="14:16" ht="15.75" customHeight="1" x14ac:dyDescent="0.2">
      <c r="N861" s="62"/>
      <c r="O861" s="62"/>
      <c r="P861" s="62"/>
    </row>
    <row r="862" spans="14:16" ht="15.75" customHeight="1" x14ac:dyDescent="0.2">
      <c r="N862" s="62"/>
      <c r="O862" s="62"/>
      <c r="P862" s="62"/>
    </row>
    <row r="863" spans="14:16" ht="15.75" customHeight="1" x14ac:dyDescent="0.2">
      <c r="N863" s="62"/>
      <c r="O863" s="62"/>
      <c r="P863" s="62"/>
    </row>
    <row r="864" spans="14:16" ht="15.75" customHeight="1" x14ac:dyDescent="0.2">
      <c r="N864" s="62"/>
      <c r="O864" s="62"/>
      <c r="P864" s="62"/>
    </row>
    <row r="865" spans="14:16" ht="15.75" customHeight="1" x14ac:dyDescent="0.2">
      <c r="N865" s="62"/>
      <c r="O865" s="62"/>
      <c r="P865" s="62"/>
    </row>
    <row r="866" spans="14:16" ht="15.75" customHeight="1" x14ac:dyDescent="0.2">
      <c r="N866" s="62"/>
      <c r="O866" s="62"/>
      <c r="P866" s="62"/>
    </row>
    <row r="867" spans="14:16" ht="15.75" customHeight="1" x14ac:dyDescent="0.2">
      <c r="N867" s="62"/>
      <c r="O867" s="62"/>
      <c r="P867" s="62"/>
    </row>
    <row r="868" spans="14:16" ht="15.75" customHeight="1" x14ac:dyDescent="0.2">
      <c r="N868" s="62"/>
      <c r="O868" s="62"/>
      <c r="P868" s="62"/>
    </row>
    <row r="869" spans="14:16" ht="15.75" customHeight="1" x14ac:dyDescent="0.2">
      <c r="N869" s="62"/>
      <c r="O869" s="62"/>
      <c r="P869" s="62"/>
    </row>
    <row r="870" spans="14:16" ht="15.75" customHeight="1" x14ac:dyDescent="0.2">
      <c r="N870" s="62"/>
      <c r="O870" s="62"/>
      <c r="P870" s="62"/>
    </row>
    <row r="871" spans="14:16" ht="15.75" customHeight="1" x14ac:dyDescent="0.2">
      <c r="N871" s="62"/>
      <c r="O871" s="62"/>
      <c r="P871" s="62"/>
    </row>
    <row r="872" spans="14:16" ht="15.75" customHeight="1" x14ac:dyDescent="0.2">
      <c r="N872" s="62"/>
      <c r="O872" s="62"/>
      <c r="P872" s="62"/>
    </row>
    <row r="873" spans="14:16" ht="15.75" customHeight="1" x14ac:dyDescent="0.2">
      <c r="N873" s="62"/>
      <c r="O873" s="62"/>
      <c r="P873" s="62"/>
    </row>
    <row r="874" spans="14:16" ht="15.75" customHeight="1" x14ac:dyDescent="0.2">
      <c r="N874" s="62"/>
      <c r="O874" s="62"/>
      <c r="P874" s="62"/>
    </row>
    <row r="875" spans="14:16" ht="15.75" customHeight="1" x14ac:dyDescent="0.2">
      <c r="N875" s="62"/>
      <c r="O875" s="62"/>
      <c r="P875" s="62"/>
    </row>
    <row r="876" spans="14:16" ht="15.75" customHeight="1" x14ac:dyDescent="0.2">
      <c r="N876" s="62"/>
      <c r="O876" s="62"/>
      <c r="P876" s="62"/>
    </row>
    <row r="877" spans="14:16" ht="15.75" customHeight="1" x14ac:dyDescent="0.2">
      <c r="N877" s="62"/>
      <c r="O877" s="62"/>
      <c r="P877" s="62"/>
    </row>
    <row r="878" spans="14:16" ht="15.75" customHeight="1" x14ac:dyDescent="0.2">
      <c r="N878" s="62"/>
      <c r="O878" s="62"/>
      <c r="P878" s="62"/>
    </row>
    <row r="879" spans="14:16" ht="15.75" customHeight="1" x14ac:dyDescent="0.2">
      <c r="N879" s="62"/>
      <c r="O879" s="62"/>
      <c r="P879" s="62"/>
    </row>
    <row r="880" spans="14:16" ht="15.75" customHeight="1" x14ac:dyDescent="0.2">
      <c r="N880" s="62"/>
      <c r="O880" s="62"/>
      <c r="P880" s="62"/>
    </row>
    <row r="881" spans="14:16" ht="15.75" customHeight="1" x14ac:dyDescent="0.2">
      <c r="N881" s="62"/>
      <c r="O881" s="62"/>
      <c r="P881" s="62"/>
    </row>
    <row r="882" spans="14:16" ht="15.75" customHeight="1" x14ac:dyDescent="0.2">
      <c r="N882" s="62"/>
      <c r="O882" s="62"/>
      <c r="P882" s="62"/>
    </row>
    <row r="883" spans="14:16" ht="15.75" customHeight="1" x14ac:dyDescent="0.2">
      <c r="N883" s="62"/>
      <c r="O883" s="62"/>
      <c r="P883" s="62"/>
    </row>
    <row r="884" spans="14:16" ht="15.75" customHeight="1" x14ac:dyDescent="0.2">
      <c r="N884" s="62"/>
      <c r="O884" s="62"/>
      <c r="P884" s="62"/>
    </row>
    <row r="885" spans="14:16" ht="15.75" customHeight="1" x14ac:dyDescent="0.2">
      <c r="N885" s="62"/>
      <c r="O885" s="62"/>
      <c r="P885" s="62"/>
    </row>
    <row r="886" spans="14:16" ht="15.75" customHeight="1" x14ac:dyDescent="0.2">
      <c r="N886" s="62"/>
      <c r="O886" s="62"/>
      <c r="P886" s="62"/>
    </row>
    <row r="887" spans="14:16" ht="15.75" customHeight="1" x14ac:dyDescent="0.2">
      <c r="N887" s="62"/>
      <c r="O887" s="62"/>
      <c r="P887" s="62"/>
    </row>
    <row r="888" spans="14:16" ht="15.75" customHeight="1" x14ac:dyDescent="0.2">
      <c r="N888" s="62"/>
      <c r="O888" s="62"/>
      <c r="P888" s="62"/>
    </row>
    <row r="889" spans="14:16" ht="15.75" customHeight="1" x14ac:dyDescent="0.2">
      <c r="N889" s="62"/>
      <c r="O889" s="62"/>
      <c r="P889" s="62"/>
    </row>
    <row r="890" spans="14:16" ht="15.75" customHeight="1" x14ac:dyDescent="0.2">
      <c r="N890" s="62"/>
      <c r="O890" s="62"/>
      <c r="P890" s="62"/>
    </row>
    <row r="891" spans="14:16" ht="15.75" customHeight="1" x14ac:dyDescent="0.2">
      <c r="N891" s="62"/>
      <c r="O891" s="62"/>
      <c r="P891" s="62"/>
    </row>
    <row r="892" spans="14:16" ht="15.75" customHeight="1" x14ac:dyDescent="0.2">
      <c r="N892" s="62"/>
      <c r="O892" s="62"/>
      <c r="P892" s="62"/>
    </row>
    <row r="893" spans="14:16" ht="15.75" customHeight="1" x14ac:dyDescent="0.2">
      <c r="N893" s="62"/>
      <c r="O893" s="62"/>
      <c r="P893" s="62"/>
    </row>
    <row r="894" spans="14:16" ht="15.75" customHeight="1" x14ac:dyDescent="0.2">
      <c r="N894" s="62"/>
      <c r="O894" s="62"/>
      <c r="P894" s="62"/>
    </row>
    <row r="895" spans="14:16" ht="15.75" customHeight="1" x14ac:dyDescent="0.2">
      <c r="N895" s="62"/>
      <c r="O895" s="62"/>
      <c r="P895" s="62"/>
    </row>
    <row r="896" spans="14:16" ht="15.75" customHeight="1" x14ac:dyDescent="0.2">
      <c r="N896" s="62"/>
      <c r="O896" s="62"/>
      <c r="P896" s="62"/>
    </row>
    <row r="897" spans="14:16" ht="15.75" customHeight="1" x14ac:dyDescent="0.2">
      <c r="N897" s="62"/>
      <c r="O897" s="62"/>
      <c r="P897" s="62"/>
    </row>
    <row r="898" spans="14:16" ht="15.75" customHeight="1" x14ac:dyDescent="0.2">
      <c r="N898" s="62"/>
      <c r="O898" s="62"/>
      <c r="P898" s="62"/>
    </row>
    <row r="899" spans="14:16" ht="15.75" customHeight="1" x14ac:dyDescent="0.2">
      <c r="N899" s="62"/>
      <c r="O899" s="62"/>
      <c r="P899" s="62"/>
    </row>
    <row r="900" spans="14:16" ht="15.75" customHeight="1" x14ac:dyDescent="0.2">
      <c r="N900" s="62"/>
      <c r="O900" s="62"/>
      <c r="P900" s="62"/>
    </row>
    <row r="901" spans="14:16" ht="15.75" customHeight="1" x14ac:dyDescent="0.2">
      <c r="N901" s="62"/>
      <c r="O901" s="62"/>
      <c r="P901" s="62"/>
    </row>
    <row r="902" spans="14:16" ht="15.75" customHeight="1" x14ac:dyDescent="0.2">
      <c r="N902" s="62"/>
      <c r="O902" s="62"/>
      <c r="P902" s="62"/>
    </row>
    <row r="903" spans="14:16" ht="15.75" customHeight="1" x14ac:dyDescent="0.2">
      <c r="N903" s="62"/>
      <c r="O903" s="62"/>
      <c r="P903" s="62"/>
    </row>
    <row r="904" spans="14:16" ht="15.75" customHeight="1" x14ac:dyDescent="0.2">
      <c r="N904" s="62"/>
      <c r="O904" s="62"/>
      <c r="P904" s="62"/>
    </row>
    <row r="905" spans="14:16" ht="15.75" customHeight="1" x14ac:dyDescent="0.2">
      <c r="N905" s="62"/>
      <c r="O905" s="62"/>
      <c r="P905" s="62"/>
    </row>
    <row r="906" spans="14:16" ht="15.75" customHeight="1" x14ac:dyDescent="0.2">
      <c r="N906" s="62"/>
      <c r="O906" s="62"/>
      <c r="P906" s="62"/>
    </row>
    <row r="907" spans="14:16" ht="15.75" customHeight="1" x14ac:dyDescent="0.2">
      <c r="N907" s="62"/>
      <c r="O907" s="62"/>
      <c r="P907" s="62"/>
    </row>
    <row r="908" spans="14:16" ht="15.75" customHeight="1" x14ac:dyDescent="0.2">
      <c r="N908" s="62"/>
      <c r="O908" s="62"/>
      <c r="P908" s="62"/>
    </row>
    <row r="909" spans="14:16" ht="15.75" customHeight="1" x14ac:dyDescent="0.2">
      <c r="N909" s="62"/>
      <c r="O909" s="62"/>
      <c r="P909" s="62"/>
    </row>
    <row r="910" spans="14:16" ht="15.75" customHeight="1" x14ac:dyDescent="0.2">
      <c r="N910" s="62"/>
      <c r="O910" s="62"/>
      <c r="P910" s="62"/>
    </row>
    <row r="911" spans="14:16" ht="15.75" customHeight="1" x14ac:dyDescent="0.2">
      <c r="N911" s="62"/>
      <c r="O911" s="62"/>
      <c r="P911" s="62"/>
    </row>
    <row r="912" spans="14:16" ht="15.75" customHeight="1" x14ac:dyDescent="0.2">
      <c r="N912" s="62"/>
      <c r="O912" s="62"/>
      <c r="P912" s="62"/>
    </row>
    <row r="913" spans="14:16" ht="15.75" customHeight="1" x14ac:dyDescent="0.2">
      <c r="N913" s="62"/>
      <c r="O913" s="62"/>
      <c r="P913" s="62"/>
    </row>
    <row r="914" spans="14:16" ht="15.75" customHeight="1" x14ac:dyDescent="0.2">
      <c r="N914" s="62"/>
      <c r="O914" s="62"/>
      <c r="P914" s="62"/>
    </row>
    <row r="915" spans="14:16" ht="15.75" customHeight="1" x14ac:dyDescent="0.2">
      <c r="N915" s="62"/>
      <c r="O915" s="62"/>
      <c r="P915" s="62"/>
    </row>
    <row r="916" spans="14:16" ht="15.75" customHeight="1" x14ac:dyDescent="0.2">
      <c r="N916" s="62"/>
      <c r="O916" s="62"/>
      <c r="P916" s="62"/>
    </row>
    <row r="917" spans="14:16" ht="15.75" customHeight="1" x14ac:dyDescent="0.2">
      <c r="N917" s="62"/>
      <c r="O917" s="62"/>
      <c r="P917" s="62"/>
    </row>
    <row r="918" spans="14:16" ht="15.75" customHeight="1" x14ac:dyDescent="0.2">
      <c r="N918" s="62"/>
      <c r="O918" s="62"/>
      <c r="P918" s="62"/>
    </row>
    <row r="919" spans="14:16" ht="15.75" customHeight="1" x14ac:dyDescent="0.2">
      <c r="N919" s="62"/>
      <c r="O919" s="62"/>
      <c r="P919" s="62"/>
    </row>
    <row r="920" spans="14:16" ht="15.75" customHeight="1" x14ac:dyDescent="0.2">
      <c r="N920" s="62"/>
      <c r="O920" s="62"/>
      <c r="P920" s="62"/>
    </row>
    <row r="921" spans="14:16" ht="15.75" customHeight="1" x14ac:dyDescent="0.2">
      <c r="N921" s="62"/>
      <c r="O921" s="62"/>
      <c r="P921" s="62"/>
    </row>
    <row r="922" spans="14:16" ht="15.75" customHeight="1" x14ac:dyDescent="0.2">
      <c r="N922" s="62"/>
      <c r="O922" s="62"/>
      <c r="P922" s="62"/>
    </row>
    <row r="923" spans="14:16" ht="15.75" customHeight="1" x14ac:dyDescent="0.2">
      <c r="N923" s="62"/>
      <c r="O923" s="62"/>
      <c r="P923" s="62"/>
    </row>
    <row r="924" spans="14:16" ht="15.75" customHeight="1" x14ac:dyDescent="0.2">
      <c r="N924" s="62"/>
      <c r="O924" s="62"/>
      <c r="P924" s="62"/>
    </row>
    <row r="925" spans="14:16" ht="15.75" customHeight="1" x14ac:dyDescent="0.2">
      <c r="N925" s="62"/>
      <c r="O925" s="62"/>
      <c r="P925" s="62"/>
    </row>
    <row r="926" spans="14:16" ht="15.75" customHeight="1" x14ac:dyDescent="0.2">
      <c r="N926" s="62"/>
      <c r="O926" s="62"/>
      <c r="P926" s="62"/>
    </row>
    <row r="927" spans="14:16" ht="15.75" customHeight="1" x14ac:dyDescent="0.2">
      <c r="N927" s="62"/>
      <c r="O927" s="62"/>
      <c r="P927" s="62"/>
    </row>
    <row r="928" spans="14:16" ht="15.75" customHeight="1" x14ac:dyDescent="0.2">
      <c r="N928" s="62"/>
      <c r="O928" s="62"/>
      <c r="P928" s="62"/>
    </row>
    <row r="929" spans="14:16" ht="15.75" customHeight="1" x14ac:dyDescent="0.2">
      <c r="N929" s="62"/>
      <c r="O929" s="62"/>
      <c r="P929" s="62"/>
    </row>
    <row r="930" spans="14:16" ht="15.75" customHeight="1" x14ac:dyDescent="0.2">
      <c r="N930" s="62"/>
      <c r="O930" s="62"/>
      <c r="P930" s="62"/>
    </row>
    <row r="931" spans="14:16" ht="15.75" customHeight="1" x14ac:dyDescent="0.2">
      <c r="N931" s="62"/>
      <c r="O931" s="62"/>
      <c r="P931" s="62"/>
    </row>
    <row r="932" spans="14:16" ht="15.75" customHeight="1" x14ac:dyDescent="0.2">
      <c r="N932" s="62"/>
      <c r="O932" s="62"/>
      <c r="P932" s="62"/>
    </row>
    <row r="933" spans="14:16" ht="15.75" customHeight="1" x14ac:dyDescent="0.2">
      <c r="N933" s="62"/>
      <c r="O933" s="62"/>
      <c r="P933" s="62"/>
    </row>
    <row r="934" spans="14:16" ht="15.75" customHeight="1" x14ac:dyDescent="0.2">
      <c r="N934" s="62"/>
      <c r="O934" s="62"/>
      <c r="P934" s="62"/>
    </row>
    <row r="935" spans="14:16" ht="15.75" customHeight="1" x14ac:dyDescent="0.2">
      <c r="N935" s="62"/>
      <c r="O935" s="62"/>
      <c r="P935" s="62"/>
    </row>
    <row r="936" spans="14:16" ht="15.75" customHeight="1" x14ac:dyDescent="0.2">
      <c r="N936" s="62"/>
      <c r="O936" s="62"/>
      <c r="P936" s="62"/>
    </row>
    <row r="937" spans="14:16" ht="15.75" customHeight="1" x14ac:dyDescent="0.2">
      <c r="N937" s="62"/>
      <c r="O937" s="62"/>
      <c r="P937" s="62"/>
    </row>
    <row r="938" spans="14:16" ht="15.75" customHeight="1" x14ac:dyDescent="0.2">
      <c r="N938" s="62"/>
      <c r="O938" s="62"/>
      <c r="P938" s="62"/>
    </row>
    <row r="939" spans="14:16" ht="15.75" customHeight="1" x14ac:dyDescent="0.2">
      <c r="N939" s="62"/>
      <c r="O939" s="62"/>
      <c r="P939" s="62"/>
    </row>
    <row r="940" spans="14:16" ht="15.75" customHeight="1" x14ac:dyDescent="0.2">
      <c r="N940" s="62"/>
      <c r="O940" s="62"/>
      <c r="P940" s="62"/>
    </row>
    <row r="941" spans="14:16" ht="15.75" customHeight="1" x14ac:dyDescent="0.2">
      <c r="N941" s="62"/>
      <c r="O941" s="62"/>
      <c r="P941" s="62"/>
    </row>
    <row r="942" spans="14:16" ht="15.75" customHeight="1" x14ac:dyDescent="0.2">
      <c r="N942" s="62"/>
      <c r="O942" s="62"/>
      <c r="P942" s="62"/>
    </row>
    <row r="943" spans="14:16" ht="15.75" customHeight="1" x14ac:dyDescent="0.2">
      <c r="N943" s="62"/>
      <c r="O943" s="62"/>
      <c r="P943" s="62"/>
    </row>
    <row r="944" spans="14:16" ht="15.75" customHeight="1" x14ac:dyDescent="0.2">
      <c r="N944" s="62"/>
      <c r="O944" s="62"/>
      <c r="P944" s="62"/>
    </row>
    <row r="945" spans="14:16" ht="15.75" customHeight="1" x14ac:dyDescent="0.2">
      <c r="N945" s="62"/>
      <c r="O945" s="62"/>
      <c r="P945" s="62"/>
    </row>
    <row r="946" spans="14:16" ht="15.75" customHeight="1" x14ac:dyDescent="0.2">
      <c r="N946" s="62"/>
      <c r="O946" s="62"/>
      <c r="P946" s="62"/>
    </row>
    <row r="947" spans="14:16" ht="15.75" customHeight="1" x14ac:dyDescent="0.2">
      <c r="N947" s="62"/>
      <c r="O947" s="62"/>
      <c r="P947" s="62"/>
    </row>
    <row r="948" spans="14:16" ht="15.75" customHeight="1" x14ac:dyDescent="0.2">
      <c r="N948" s="62"/>
      <c r="O948" s="62"/>
      <c r="P948" s="62"/>
    </row>
    <row r="949" spans="14:16" ht="15.75" customHeight="1" x14ac:dyDescent="0.2">
      <c r="N949" s="62"/>
      <c r="O949" s="62"/>
      <c r="P949" s="62"/>
    </row>
    <row r="950" spans="14:16" ht="15.75" customHeight="1" x14ac:dyDescent="0.2">
      <c r="N950" s="62"/>
      <c r="O950" s="62"/>
      <c r="P950" s="62"/>
    </row>
    <row r="951" spans="14:16" ht="15.75" customHeight="1" x14ac:dyDescent="0.2">
      <c r="N951" s="62"/>
      <c r="O951" s="62"/>
      <c r="P951" s="62"/>
    </row>
    <row r="952" spans="14:16" ht="15.75" customHeight="1" x14ac:dyDescent="0.2">
      <c r="N952" s="62"/>
      <c r="O952" s="62"/>
      <c r="P952" s="62"/>
    </row>
    <row r="953" spans="14:16" ht="15.75" customHeight="1" x14ac:dyDescent="0.2">
      <c r="N953" s="62"/>
      <c r="O953" s="62"/>
      <c r="P953" s="62"/>
    </row>
    <row r="954" spans="14:16" ht="15.75" customHeight="1" x14ac:dyDescent="0.2">
      <c r="N954" s="62"/>
      <c r="O954" s="62"/>
      <c r="P954" s="62"/>
    </row>
    <row r="955" spans="14:16" ht="15.75" customHeight="1" x14ac:dyDescent="0.2">
      <c r="N955" s="62"/>
      <c r="O955" s="62"/>
      <c r="P955" s="62"/>
    </row>
    <row r="956" spans="14:16" ht="15.75" customHeight="1" x14ac:dyDescent="0.2">
      <c r="N956" s="62"/>
      <c r="O956" s="62"/>
      <c r="P956" s="62"/>
    </row>
    <row r="957" spans="14:16" ht="15.75" customHeight="1" x14ac:dyDescent="0.2">
      <c r="N957" s="62"/>
      <c r="O957" s="62"/>
      <c r="P957" s="62"/>
    </row>
    <row r="958" spans="14:16" ht="15.75" customHeight="1" x14ac:dyDescent="0.2">
      <c r="N958" s="62"/>
      <c r="O958" s="62"/>
      <c r="P958" s="62"/>
    </row>
    <row r="959" spans="14:16" ht="15.75" customHeight="1" x14ac:dyDescent="0.2">
      <c r="N959" s="62"/>
      <c r="O959" s="62"/>
      <c r="P959" s="62"/>
    </row>
    <row r="960" spans="14:16" ht="15.75" customHeight="1" x14ac:dyDescent="0.2">
      <c r="N960" s="62"/>
      <c r="O960" s="62"/>
      <c r="P960" s="62"/>
    </row>
    <row r="961" spans="14:16" ht="15.75" customHeight="1" x14ac:dyDescent="0.2">
      <c r="N961" s="62"/>
      <c r="O961" s="62"/>
      <c r="P961" s="62"/>
    </row>
    <row r="962" spans="14:16" ht="15.75" customHeight="1" x14ac:dyDescent="0.2">
      <c r="N962" s="62"/>
      <c r="O962" s="62"/>
      <c r="P962" s="62"/>
    </row>
    <row r="963" spans="14:16" ht="15.75" customHeight="1" x14ac:dyDescent="0.2">
      <c r="N963" s="62"/>
      <c r="O963" s="62"/>
      <c r="P963" s="62"/>
    </row>
    <row r="964" spans="14:16" ht="15.75" customHeight="1" x14ac:dyDescent="0.2">
      <c r="N964" s="62"/>
      <c r="O964" s="62"/>
      <c r="P964" s="62"/>
    </row>
    <row r="965" spans="14:16" ht="15.75" customHeight="1" x14ac:dyDescent="0.2">
      <c r="N965" s="62"/>
      <c r="O965" s="62"/>
      <c r="P965" s="62"/>
    </row>
    <row r="966" spans="14:16" ht="15.75" customHeight="1" x14ac:dyDescent="0.2">
      <c r="N966" s="62"/>
      <c r="O966" s="62"/>
      <c r="P966" s="62"/>
    </row>
    <row r="967" spans="14:16" ht="15.75" customHeight="1" x14ac:dyDescent="0.2">
      <c r="N967" s="62"/>
      <c r="O967" s="62"/>
      <c r="P967" s="62"/>
    </row>
    <row r="968" spans="14:16" ht="15.75" customHeight="1" x14ac:dyDescent="0.2">
      <c r="N968" s="62"/>
      <c r="O968" s="62"/>
      <c r="P968" s="62"/>
    </row>
    <row r="969" spans="14:16" ht="15.75" customHeight="1" x14ac:dyDescent="0.2">
      <c r="N969" s="62"/>
      <c r="O969" s="62"/>
      <c r="P969" s="62"/>
    </row>
    <row r="970" spans="14:16" ht="15.75" customHeight="1" x14ac:dyDescent="0.2">
      <c r="N970" s="62"/>
      <c r="O970" s="62"/>
      <c r="P970" s="62"/>
    </row>
    <row r="971" spans="14:16" ht="15.75" customHeight="1" x14ac:dyDescent="0.2">
      <c r="N971" s="62"/>
      <c r="O971" s="62"/>
      <c r="P971" s="62"/>
    </row>
    <row r="972" spans="14:16" ht="15.75" customHeight="1" x14ac:dyDescent="0.2">
      <c r="N972" s="62"/>
      <c r="O972" s="62"/>
      <c r="P972" s="62"/>
    </row>
    <row r="973" spans="14:16" ht="15.75" customHeight="1" x14ac:dyDescent="0.2">
      <c r="N973" s="62"/>
      <c r="O973" s="62"/>
      <c r="P973" s="62"/>
    </row>
    <row r="974" spans="14:16" ht="15.75" customHeight="1" x14ac:dyDescent="0.2">
      <c r="N974" s="62"/>
      <c r="O974" s="62"/>
      <c r="P974" s="62"/>
    </row>
    <row r="975" spans="14:16" ht="15.75" customHeight="1" x14ac:dyDescent="0.2">
      <c r="N975" s="62"/>
      <c r="O975" s="62"/>
      <c r="P975" s="62"/>
    </row>
    <row r="976" spans="14:16" ht="15.75" customHeight="1" x14ac:dyDescent="0.2">
      <c r="N976" s="62"/>
      <c r="O976" s="62"/>
      <c r="P976" s="62"/>
    </row>
    <row r="977" spans="14:16" ht="15.75" customHeight="1" x14ac:dyDescent="0.2">
      <c r="N977" s="62"/>
      <c r="O977" s="62"/>
      <c r="P977" s="62"/>
    </row>
    <row r="978" spans="14:16" ht="15.75" customHeight="1" x14ac:dyDescent="0.2">
      <c r="N978" s="62"/>
      <c r="O978" s="62"/>
      <c r="P978" s="62"/>
    </row>
    <row r="979" spans="14:16" ht="15.75" customHeight="1" x14ac:dyDescent="0.2">
      <c r="N979" s="62"/>
      <c r="O979" s="62"/>
      <c r="P979" s="62"/>
    </row>
    <row r="980" spans="14:16" ht="15.75" customHeight="1" x14ac:dyDescent="0.2">
      <c r="N980" s="62"/>
      <c r="O980" s="62"/>
      <c r="P980" s="62"/>
    </row>
    <row r="981" spans="14:16" ht="15.75" customHeight="1" x14ac:dyDescent="0.2">
      <c r="N981" s="62"/>
      <c r="O981" s="62"/>
      <c r="P981" s="62"/>
    </row>
    <row r="982" spans="14:16" ht="15.75" customHeight="1" x14ac:dyDescent="0.2">
      <c r="N982" s="62"/>
      <c r="O982" s="62"/>
      <c r="P982" s="62"/>
    </row>
    <row r="983" spans="14:16" ht="15.75" customHeight="1" x14ac:dyDescent="0.2">
      <c r="N983" s="62"/>
      <c r="O983" s="62"/>
      <c r="P983" s="62"/>
    </row>
    <row r="984" spans="14:16" ht="15.75" customHeight="1" x14ac:dyDescent="0.2">
      <c r="N984" s="62"/>
      <c r="O984" s="62"/>
      <c r="P984" s="62"/>
    </row>
    <row r="985" spans="14:16" ht="15.75" customHeight="1" x14ac:dyDescent="0.2">
      <c r="N985" s="62"/>
      <c r="O985" s="62"/>
      <c r="P985" s="62"/>
    </row>
    <row r="986" spans="14:16" ht="15.75" customHeight="1" x14ac:dyDescent="0.2">
      <c r="N986" s="62"/>
      <c r="O986" s="62"/>
      <c r="P986" s="62"/>
    </row>
    <row r="987" spans="14:16" ht="15.75" customHeight="1" x14ac:dyDescent="0.2">
      <c r="N987" s="62"/>
      <c r="O987" s="62"/>
      <c r="P987" s="62"/>
    </row>
    <row r="988" spans="14:16" ht="15.75" customHeight="1" x14ac:dyDescent="0.2">
      <c r="N988" s="62"/>
      <c r="O988" s="62"/>
      <c r="P988" s="62"/>
    </row>
    <row r="989" spans="14:16" ht="15.75" customHeight="1" x14ac:dyDescent="0.2">
      <c r="N989" s="62"/>
      <c r="O989" s="62"/>
      <c r="P989" s="62"/>
    </row>
    <row r="990" spans="14:16" ht="15.75" customHeight="1" x14ac:dyDescent="0.2">
      <c r="N990" s="62"/>
      <c r="O990" s="62"/>
      <c r="P990" s="62"/>
    </row>
    <row r="991" spans="14:16" ht="15.75" customHeight="1" x14ac:dyDescent="0.2">
      <c r="N991" s="62"/>
      <c r="O991" s="62"/>
      <c r="P991" s="62"/>
    </row>
    <row r="992" spans="14:16" ht="15.75" customHeight="1" x14ac:dyDescent="0.2">
      <c r="N992" s="62"/>
      <c r="O992" s="62"/>
      <c r="P992" s="62"/>
    </row>
    <row r="993" spans="14:16" ht="15.75" customHeight="1" x14ac:dyDescent="0.2">
      <c r="N993" s="62"/>
      <c r="O993" s="62"/>
      <c r="P993" s="62"/>
    </row>
    <row r="994" spans="14:16" ht="15.75" customHeight="1" x14ac:dyDescent="0.2">
      <c r="N994" s="62"/>
      <c r="O994" s="62"/>
      <c r="P994" s="62"/>
    </row>
    <row r="995" spans="14:16" ht="15.75" customHeight="1" x14ac:dyDescent="0.2">
      <c r="N995" s="62"/>
      <c r="O995" s="62"/>
      <c r="P995" s="62"/>
    </row>
    <row r="996" spans="14:16" ht="15.75" customHeight="1" x14ac:dyDescent="0.2">
      <c r="N996" s="62"/>
      <c r="O996" s="62"/>
      <c r="P996" s="62"/>
    </row>
    <row r="997" spans="14:16" ht="15.75" customHeight="1" x14ac:dyDescent="0.2">
      <c r="N997" s="62"/>
      <c r="O997" s="62"/>
      <c r="P997" s="62"/>
    </row>
    <row r="998" spans="14:16" ht="15.75" customHeight="1" x14ac:dyDescent="0.2">
      <c r="N998" s="62"/>
      <c r="O998" s="62"/>
      <c r="P998" s="62"/>
    </row>
    <row r="999" spans="14:16" ht="15.75" customHeight="1" x14ac:dyDescent="0.2">
      <c r="N999" s="62"/>
      <c r="O999" s="62"/>
      <c r="P999" s="62"/>
    </row>
    <row r="1000" spans="14:16" ht="15.75" customHeight="1" x14ac:dyDescent="0.2">
      <c r="N1000" s="62"/>
      <c r="O1000" s="62"/>
      <c r="P1000" s="62"/>
    </row>
  </sheetData>
  <mergeCells count="9">
    <mergeCell ref="B7:B20"/>
    <mergeCell ref="B21:B42"/>
    <mergeCell ref="E5:E6"/>
    <mergeCell ref="E43:F43"/>
    <mergeCell ref="K2:K5"/>
    <mergeCell ref="L2:L5"/>
    <mergeCell ref="M2:M5"/>
    <mergeCell ref="C5:C6"/>
    <mergeCell ref="D5:D6"/>
  </mergeCells>
  <conditionalFormatting sqref="C7:D42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7:E42">
    <cfRule type="colorScale" priority="3">
      <colorScale>
        <cfvo type="min"/>
        <cfvo type="max"/>
        <color rgb="FFFFFFFF"/>
        <color rgb="FFC27BA0"/>
      </colorScale>
    </cfRule>
  </conditionalFormatting>
  <conditionalFormatting sqref="K7:M42">
    <cfRule type="notContainsBlanks" dxfId="2" priority="4">
      <formula>LEN(TRIM(K7))&gt;0</formula>
    </cfRule>
  </conditionalFormatting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74EA7"/>
    <outlinePr summaryBelow="0" summaryRight="0"/>
  </sheetPr>
  <dimension ref="A1:AF998"/>
  <sheetViews>
    <sheetView showGridLines="0" workbookViewId="0">
      <selection activeCell="N11" sqref="N11"/>
    </sheetView>
  </sheetViews>
  <sheetFormatPr defaultColWidth="12.5703125" defaultRowHeight="15" customHeight="1" x14ac:dyDescent="0.2"/>
  <cols>
    <col min="1" max="1" width="3.42578125" customWidth="1"/>
    <col min="2" max="2" width="12.28515625" customWidth="1"/>
    <col min="3" max="5" width="3" customWidth="1"/>
    <col min="6" max="6" width="22.42578125" customWidth="1"/>
    <col min="7" max="7" width="6.5703125" customWidth="1"/>
    <col min="8" max="8" width="10.140625" customWidth="1"/>
    <col min="9" max="9" width="8.42578125" customWidth="1"/>
    <col min="10" max="10" width="6.5703125" customWidth="1"/>
    <col min="11" max="13" width="5.42578125" customWidth="1"/>
    <col min="14" max="14" width="19.85546875" customWidth="1"/>
    <col min="15" max="16" width="22.140625" customWidth="1"/>
  </cols>
  <sheetData>
    <row r="1" spans="1:32" ht="15.75" customHeight="1" x14ac:dyDescent="0.2">
      <c r="A1" s="1" t="s">
        <v>104</v>
      </c>
      <c r="B1" s="1"/>
      <c r="C1" s="3"/>
      <c r="D1" s="3"/>
      <c r="E1" s="3"/>
      <c r="F1" s="4"/>
      <c r="G1" s="2"/>
      <c r="H1" s="2"/>
      <c r="I1" s="2"/>
      <c r="J1" s="2"/>
      <c r="K1" s="133"/>
      <c r="L1" s="133"/>
      <c r="M1" s="133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2">
      <c r="A2" s="1"/>
      <c r="B2" s="135"/>
      <c r="C2" s="136"/>
      <c r="D2" s="136"/>
      <c r="E2" s="136"/>
      <c r="F2" s="137"/>
      <c r="G2" s="138"/>
      <c r="H2" s="138"/>
      <c r="I2" s="138"/>
      <c r="J2" s="138"/>
      <c r="K2" s="230" t="s">
        <v>159</v>
      </c>
      <c r="L2" s="230" t="s">
        <v>160</v>
      </c>
      <c r="M2" s="230" t="s">
        <v>161</v>
      </c>
      <c r="N2" s="137"/>
      <c r="O2" s="139"/>
      <c r="P2" s="13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.75" customHeight="1" x14ac:dyDescent="0.5">
      <c r="A3" s="1"/>
      <c r="B3" s="140" t="s">
        <v>162</v>
      </c>
      <c r="C3" s="141"/>
      <c r="D3" s="141"/>
      <c r="E3" s="141"/>
      <c r="F3" s="142"/>
      <c r="G3" s="143"/>
      <c r="H3" s="143"/>
      <c r="I3" s="144"/>
      <c r="J3" s="144"/>
      <c r="K3" s="209"/>
      <c r="L3" s="209"/>
      <c r="M3" s="209"/>
      <c r="N3" s="145"/>
      <c r="O3" s="139"/>
      <c r="P3" s="139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customHeight="1" x14ac:dyDescent="0.2">
      <c r="A4" s="1"/>
      <c r="B4" s="146"/>
      <c r="C4" s="147"/>
      <c r="D4" s="147"/>
      <c r="E4" s="147"/>
      <c r="F4" s="148"/>
      <c r="G4" s="149"/>
      <c r="H4" s="149"/>
      <c r="I4" s="149"/>
      <c r="J4" s="149"/>
      <c r="K4" s="209"/>
      <c r="L4" s="209"/>
      <c r="M4" s="209"/>
      <c r="N4" s="148"/>
      <c r="O4" s="139"/>
      <c r="P4" s="139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30" customHeight="1" x14ac:dyDescent="0.2">
      <c r="A5" s="1"/>
      <c r="B5" s="146"/>
      <c r="C5" s="231" t="s">
        <v>106</v>
      </c>
      <c r="D5" s="231" t="s">
        <v>2</v>
      </c>
      <c r="E5" s="231" t="s">
        <v>3</v>
      </c>
      <c r="F5" s="148"/>
      <c r="G5" s="149"/>
      <c r="H5" s="149"/>
      <c r="I5" s="149"/>
      <c r="J5" s="149"/>
      <c r="K5" s="210"/>
      <c r="L5" s="210"/>
      <c r="M5" s="210"/>
      <c r="N5" s="148"/>
      <c r="O5" s="139"/>
      <c r="P5" s="139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5.75" customHeight="1" x14ac:dyDescent="0.2">
      <c r="A6" s="1"/>
      <c r="B6" s="150" t="s">
        <v>4</v>
      </c>
      <c r="C6" s="210"/>
      <c r="D6" s="210"/>
      <c r="E6" s="210"/>
      <c r="F6" s="151" t="s">
        <v>5</v>
      </c>
      <c r="G6" s="152" t="s">
        <v>6</v>
      </c>
      <c r="H6" s="152" t="s">
        <v>7</v>
      </c>
      <c r="I6" s="152" t="s">
        <v>8</v>
      </c>
      <c r="J6" s="152" t="s">
        <v>9</v>
      </c>
      <c r="K6" s="19" t="s">
        <v>368</v>
      </c>
      <c r="L6" s="19" t="s">
        <v>369</v>
      </c>
      <c r="M6" s="19" t="s">
        <v>370</v>
      </c>
      <c r="N6" s="153" t="s">
        <v>10</v>
      </c>
      <c r="O6" s="21" t="s">
        <v>11</v>
      </c>
      <c r="P6" s="22" t="s">
        <v>12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.75" customHeight="1" x14ac:dyDescent="0.2">
      <c r="A7" s="1"/>
      <c r="B7" s="212" t="s">
        <v>163</v>
      </c>
      <c r="C7" s="154">
        <v>1</v>
      </c>
      <c r="D7" s="154">
        <v>6</v>
      </c>
      <c r="E7" s="81">
        <v>5</v>
      </c>
      <c r="F7" s="25" t="s">
        <v>164</v>
      </c>
      <c r="G7" s="81">
        <v>31</v>
      </c>
      <c r="H7" s="81">
        <v>29</v>
      </c>
      <c r="I7" s="81">
        <v>28</v>
      </c>
      <c r="J7" s="82">
        <f t="shared" ref="J7:J55" si="0">IF(OR(I7="",I7=0),0,I7/H7)</f>
        <v>0.96551724137931039</v>
      </c>
      <c r="K7" s="83">
        <v>46180</v>
      </c>
      <c r="L7" s="83">
        <v>46195</v>
      </c>
      <c r="M7" s="83"/>
      <c r="N7" s="120" t="s">
        <v>621</v>
      </c>
      <c r="O7" s="84" t="str">
        <f t="shared" ref="O7:O55" si="1">IF(OR(K7="",L7="",M7=""),"⬜ Aguardando 3º contato",IF(J7=0,"⬜ Sem acertos registrados",IF(J7&gt;0.9,"✅ Rever em "&amp;TEXT(M7+60,"dd/mm/aaaa"),IF(J7&gt;0.8001,"🔵 Rever em "&amp;TEXT(M7+45,"dd/mm/aaaa"),IF(J7&gt;0.7001,"🟡 Rever em "&amp;TEXT(M7+30,"dd/mm/aaaa"),"🔴 Rever em "&amp;TEXT(M7+7,"dd/mm/aaaa"))))))</f>
        <v>⬜ Aguardando 3º contato</v>
      </c>
      <c r="P7" s="31" t="str">
        <f t="shared" ref="P7:P55" si="2">IF(J7=0,"",IF(AND(J7&lt;0.7,MAX(C7,D7)&gt;=4),"🚨 CRÍTICO: Alta incidência + baixo aproveitamento",IF(J7&lt;0.7,"⚠️ Baixo aproveitamento - revisar urgente",IF(AND(J7&lt;0.8,MAX(C7,D7)&gt;=4),"📌 Atenção: Alta incidência",""))))</f>
        <v/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5.75" customHeight="1" x14ac:dyDescent="0.2">
      <c r="A8" s="1"/>
      <c r="B8" s="213"/>
      <c r="C8" s="155">
        <v>1</v>
      </c>
      <c r="D8" s="155">
        <v>6</v>
      </c>
      <c r="E8" s="81">
        <v>3</v>
      </c>
      <c r="F8" s="25" t="s">
        <v>334</v>
      </c>
      <c r="G8" s="81">
        <v>19</v>
      </c>
      <c r="H8" s="81">
        <v>15</v>
      </c>
      <c r="I8" s="81">
        <v>14</v>
      </c>
      <c r="J8" s="82">
        <f t="shared" si="0"/>
        <v>0.93333333333333335</v>
      </c>
      <c r="K8" s="83">
        <v>46168</v>
      </c>
      <c r="L8" s="83"/>
      <c r="M8" s="83"/>
      <c r="N8" s="120" t="s">
        <v>165</v>
      </c>
      <c r="O8" s="30" t="str">
        <f t="shared" si="1"/>
        <v>⬜ Aguardando 3º contato</v>
      </c>
      <c r="P8" s="32" t="str">
        <f t="shared" si="2"/>
        <v/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5.75" customHeight="1" x14ac:dyDescent="0.2">
      <c r="A9" s="1"/>
      <c r="B9" s="213"/>
      <c r="C9" s="155">
        <v>8</v>
      </c>
      <c r="D9" s="155">
        <v>8</v>
      </c>
      <c r="E9" s="81">
        <v>4</v>
      </c>
      <c r="F9" s="25" t="s">
        <v>166</v>
      </c>
      <c r="G9" s="81">
        <v>27</v>
      </c>
      <c r="H9" s="81">
        <v>15</v>
      </c>
      <c r="I9" s="81">
        <v>10</v>
      </c>
      <c r="J9" s="82">
        <f t="shared" si="0"/>
        <v>0.66666666666666663</v>
      </c>
      <c r="K9" s="83">
        <v>46166</v>
      </c>
      <c r="L9" s="83"/>
      <c r="M9" s="83"/>
      <c r="N9" s="120" t="s">
        <v>622</v>
      </c>
      <c r="O9" s="30" t="str">
        <f t="shared" si="1"/>
        <v>⬜ Aguardando 3º contato</v>
      </c>
      <c r="P9" s="32" t="str">
        <f t="shared" si="2"/>
        <v>🚨 CRÍTICO: Alta incidência + baixo aproveitamento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5.75" customHeight="1" x14ac:dyDescent="0.2">
      <c r="A10" s="1"/>
      <c r="B10" s="213"/>
      <c r="C10" s="155">
        <v>9</v>
      </c>
      <c r="D10" s="155">
        <v>6</v>
      </c>
      <c r="E10" s="81">
        <v>4</v>
      </c>
      <c r="F10" s="25" t="s">
        <v>167</v>
      </c>
      <c r="G10" s="81">
        <v>14</v>
      </c>
      <c r="H10" s="81">
        <v>37</v>
      </c>
      <c r="I10" s="81">
        <v>27</v>
      </c>
      <c r="J10" s="82">
        <f t="shared" si="0"/>
        <v>0.72972972972972971</v>
      </c>
      <c r="K10" s="83">
        <v>46084</v>
      </c>
      <c r="L10" s="83">
        <v>46130</v>
      </c>
      <c r="M10" s="83">
        <v>46130</v>
      </c>
      <c r="N10" s="120" t="s">
        <v>225</v>
      </c>
      <c r="O10" s="30" t="str">
        <f t="shared" si="1"/>
        <v>🟡 Rever em 18/05/2026</v>
      </c>
      <c r="P10" s="32" t="str">
        <f t="shared" si="2"/>
        <v>📌 Atenção: Alta incidência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5.75" customHeight="1" x14ac:dyDescent="0.2">
      <c r="A11" s="1"/>
      <c r="B11" s="213"/>
      <c r="C11" s="155">
        <v>1</v>
      </c>
      <c r="D11" s="155">
        <v>7</v>
      </c>
      <c r="E11" s="81">
        <v>4</v>
      </c>
      <c r="F11" s="25" t="s">
        <v>388</v>
      </c>
      <c r="G11" s="81">
        <v>20</v>
      </c>
      <c r="H11" s="81">
        <v>40</v>
      </c>
      <c r="I11" s="81"/>
      <c r="J11" s="82">
        <f t="shared" si="0"/>
        <v>0</v>
      </c>
      <c r="K11" s="83"/>
      <c r="L11" s="83"/>
      <c r="M11" s="83"/>
      <c r="N11" s="120" t="s">
        <v>221</v>
      </c>
      <c r="O11" s="30" t="str">
        <f t="shared" si="1"/>
        <v>⬜ Aguardando 3º contato</v>
      </c>
      <c r="P11" s="32" t="str">
        <f t="shared" si="2"/>
        <v/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5.75" customHeight="1" x14ac:dyDescent="0.2">
      <c r="A12" s="1"/>
      <c r="B12" s="213"/>
      <c r="C12" s="155">
        <v>4</v>
      </c>
      <c r="D12" s="155">
        <v>0</v>
      </c>
      <c r="E12" s="81">
        <v>5</v>
      </c>
      <c r="F12" s="25" t="s">
        <v>168</v>
      </c>
      <c r="G12" s="81">
        <v>41</v>
      </c>
      <c r="H12" s="81">
        <v>50</v>
      </c>
      <c r="I12" s="81"/>
      <c r="J12" s="82">
        <f t="shared" si="0"/>
        <v>0</v>
      </c>
      <c r="K12" s="83"/>
      <c r="L12" s="83"/>
      <c r="M12" s="83"/>
      <c r="N12" s="120" t="s">
        <v>591</v>
      </c>
      <c r="O12" s="30" t="str">
        <f t="shared" si="1"/>
        <v>⬜ Aguardando 3º contato</v>
      </c>
      <c r="P12" s="32" t="str">
        <f t="shared" si="2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5.75" customHeight="1" x14ac:dyDescent="0.2">
      <c r="A13" s="1"/>
      <c r="B13" s="213"/>
      <c r="C13" s="155">
        <v>10</v>
      </c>
      <c r="D13" s="155">
        <v>2</v>
      </c>
      <c r="E13" s="81">
        <v>5</v>
      </c>
      <c r="F13" s="25" t="s">
        <v>389</v>
      </c>
      <c r="G13" s="81">
        <v>51</v>
      </c>
      <c r="H13" s="81">
        <f>22+14</f>
        <v>36</v>
      </c>
      <c r="I13" s="81">
        <f>14+10</f>
        <v>24</v>
      </c>
      <c r="J13" s="82">
        <f t="shared" si="0"/>
        <v>0.66666666666666663</v>
      </c>
      <c r="K13" s="83">
        <v>46065</v>
      </c>
      <c r="L13" s="83">
        <v>46097</v>
      </c>
      <c r="M13" s="83">
        <v>46175</v>
      </c>
      <c r="N13" s="120" t="s">
        <v>231</v>
      </c>
      <c r="O13" s="30" t="str">
        <f t="shared" si="1"/>
        <v>🔴 Rever em 09/06/2026</v>
      </c>
      <c r="P13" s="32" t="str">
        <f t="shared" si="2"/>
        <v>🚨 CRÍTICO: Alta incidência + baixo aproveitamento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5.75" customHeight="1" x14ac:dyDescent="0.2">
      <c r="A14" s="1"/>
      <c r="B14" s="213"/>
      <c r="C14" s="155">
        <v>3</v>
      </c>
      <c r="D14" s="155">
        <v>5</v>
      </c>
      <c r="E14" s="81">
        <v>5</v>
      </c>
      <c r="F14" s="25" t="s">
        <v>390</v>
      </c>
      <c r="G14" s="81">
        <v>67</v>
      </c>
      <c r="H14" s="81">
        <v>50</v>
      </c>
      <c r="I14" s="81"/>
      <c r="J14" s="82">
        <f t="shared" si="0"/>
        <v>0</v>
      </c>
      <c r="K14" s="83"/>
      <c r="L14" s="83"/>
      <c r="M14" s="83"/>
      <c r="N14" s="120" t="s">
        <v>623</v>
      </c>
      <c r="O14" s="30" t="str">
        <f t="shared" si="1"/>
        <v>⬜ Aguardando 3º contato</v>
      </c>
      <c r="P14" s="32" t="str">
        <f t="shared" si="2"/>
        <v/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5.75" customHeight="1" x14ac:dyDescent="0.2">
      <c r="A15" s="1"/>
      <c r="B15" s="213"/>
      <c r="C15" s="155">
        <v>3</v>
      </c>
      <c r="D15" s="155">
        <v>0</v>
      </c>
      <c r="E15" s="81">
        <v>4</v>
      </c>
      <c r="F15" s="25" t="s">
        <v>391</v>
      </c>
      <c r="G15" s="81">
        <v>34</v>
      </c>
      <c r="H15" s="81">
        <v>40</v>
      </c>
      <c r="I15" s="81"/>
      <c r="J15" s="82">
        <f t="shared" si="0"/>
        <v>0</v>
      </c>
      <c r="K15" s="83"/>
      <c r="L15" s="83"/>
      <c r="M15" s="83"/>
      <c r="N15" s="120" t="s">
        <v>591</v>
      </c>
      <c r="O15" s="30" t="str">
        <f t="shared" si="1"/>
        <v>⬜ Aguardando 3º contato</v>
      </c>
      <c r="P15" s="32" t="str">
        <f t="shared" si="2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5.75" customHeight="1" x14ac:dyDescent="0.2">
      <c r="A16" s="1"/>
      <c r="B16" s="213"/>
      <c r="C16" s="155">
        <v>3</v>
      </c>
      <c r="D16" s="155">
        <v>2</v>
      </c>
      <c r="E16" s="81">
        <v>4</v>
      </c>
      <c r="F16" s="25" t="s">
        <v>392</v>
      </c>
      <c r="G16" s="81">
        <v>29</v>
      </c>
      <c r="H16" s="81">
        <v>40</v>
      </c>
      <c r="I16" s="81"/>
      <c r="J16" s="82">
        <f t="shared" si="0"/>
        <v>0</v>
      </c>
      <c r="K16" s="83"/>
      <c r="L16" s="83"/>
      <c r="M16" s="83"/>
      <c r="N16" s="120" t="s">
        <v>235</v>
      </c>
      <c r="O16" s="30" t="str">
        <f t="shared" si="1"/>
        <v>⬜ Aguardando 3º contato</v>
      </c>
      <c r="P16" s="32" t="str">
        <f t="shared" si="2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5.75" customHeight="1" x14ac:dyDescent="0.2">
      <c r="A17" s="1"/>
      <c r="B17" s="213"/>
      <c r="C17" s="155">
        <v>0</v>
      </c>
      <c r="D17" s="155">
        <v>4</v>
      </c>
      <c r="E17" s="81">
        <v>3</v>
      </c>
      <c r="F17" s="25" t="s">
        <v>169</v>
      </c>
      <c r="G17" s="81">
        <v>17</v>
      </c>
      <c r="H17" s="81">
        <v>30</v>
      </c>
      <c r="I17" s="81"/>
      <c r="J17" s="82">
        <f t="shared" si="0"/>
        <v>0</v>
      </c>
      <c r="K17" s="83"/>
      <c r="L17" s="83"/>
      <c r="M17" s="83"/>
      <c r="N17" s="120" t="s">
        <v>591</v>
      </c>
      <c r="O17" s="30" t="str">
        <f t="shared" si="1"/>
        <v>⬜ Aguardando 3º contato</v>
      </c>
      <c r="P17" s="32" t="str">
        <f t="shared" si="2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5.75" customHeight="1" x14ac:dyDescent="0.2">
      <c r="A18" s="1"/>
      <c r="B18" s="213"/>
      <c r="C18" s="155">
        <v>5</v>
      </c>
      <c r="D18" s="155">
        <v>3</v>
      </c>
      <c r="E18" s="81">
        <v>3</v>
      </c>
      <c r="F18" s="25" t="s">
        <v>99</v>
      </c>
      <c r="G18" s="81">
        <v>26</v>
      </c>
      <c r="H18" s="81">
        <v>30</v>
      </c>
      <c r="I18" s="81"/>
      <c r="J18" s="82">
        <f t="shared" si="0"/>
        <v>0</v>
      </c>
      <c r="K18" s="83"/>
      <c r="L18" s="83"/>
      <c r="M18" s="83"/>
      <c r="N18" s="120" t="s">
        <v>236</v>
      </c>
      <c r="O18" s="30" t="str">
        <f t="shared" si="1"/>
        <v>⬜ Aguardando 3º contato</v>
      </c>
      <c r="P18" s="32" t="str">
        <f t="shared" si="2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5.75" customHeight="1" x14ac:dyDescent="0.2">
      <c r="A19" s="1"/>
      <c r="B19" s="213"/>
      <c r="C19" s="155">
        <v>5</v>
      </c>
      <c r="D19" s="155">
        <v>0</v>
      </c>
      <c r="E19" s="81">
        <v>2</v>
      </c>
      <c r="F19" s="25" t="s">
        <v>96</v>
      </c>
      <c r="G19" s="81">
        <v>19</v>
      </c>
      <c r="H19" s="81">
        <v>20</v>
      </c>
      <c r="I19" s="81"/>
      <c r="J19" s="82">
        <f t="shared" si="0"/>
        <v>0</v>
      </c>
      <c r="K19" s="83"/>
      <c r="L19" s="83"/>
      <c r="M19" s="83"/>
      <c r="N19" s="120" t="s">
        <v>591</v>
      </c>
      <c r="O19" s="30" t="str">
        <f t="shared" si="1"/>
        <v>⬜ Aguardando 3º contato</v>
      </c>
      <c r="P19" s="32" t="str">
        <f t="shared" si="2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5.75" customHeight="1" x14ac:dyDescent="0.2">
      <c r="A20" s="1"/>
      <c r="B20" s="213"/>
      <c r="C20" s="155">
        <v>1</v>
      </c>
      <c r="D20" s="155">
        <v>3</v>
      </c>
      <c r="E20" s="81">
        <v>1</v>
      </c>
      <c r="F20" s="25" t="s">
        <v>170</v>
      </c>
      <c r="G20" s="81">
        <v>7</v>
      </c>
      <c r="H20" s="81">
        <v>10</v>
      </c>
      <c r="I20" s="81"/>
      <c r="J20" s="82">
        <f t="shared" si="0"/>
        <v>0</v>
      </c>
      <c r="K20" s="83"/>
      <c r="L20" s="83"/>
      <c r="M20" s="83"/>
      <c r="N20" s="120" t="s">
        <v>222</v>
      </c>
      <c r="O20" s="30" t="str">
        <f t="shared" si="1"/>
        <v>⬜ Aguardando 3º contato</v>
      </c>
      <c r="P20" s="32" t="str">
        <f t="shared" si="2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5.75" customHeight="1" x14ac:dyDescent="0.2">
      <c r="A21" s="1"/>
      <c r="B21" s="213"/>
      <c r="C21" s="155">
        <v>4</v>
      </c>
      <c r="D21" s="155">
        <v>2</v>
      </c>
      <c r="E21" s="81">
        <v>3</v>
      </c>
      <c r="F21" s="25" t="s">
        <v>171</v>
      </c>
      <c r="G21" s="81">
        <v>14</v>
      </c>
      <c r="H21" s="81">
        <v>30</v>
      </c>
      <c r="I21" s="81"/>
      <c r="J21" s="82">
        <f t="shared" si="0"/>
        <v>0</v>
      </c>
      <c r="K21" s="83"/>
      <c r="L21" s="83"/>
      <c r="M21" s="83"/>
      <c r="N21" s="120" t="s">
        <v>624</v>
      </c>
      <c r="O21" s="30" t="str">
        <f t="shared" si="1"/>
        <v>⬜ Aguardando 3º contato</v>
      </c>
      <c r="P21" s="32" t="str">
        <f t="shared" si="2"/>
        <v/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 x14ac:dyDescent="0.2">
      <c r="A22" s="1"/>
      <c r="B22" s="215" t="s">
        <v>172</v>
      </c>
      <c r="C22" s="156">
        <v>11</v>
      </c>
      <c r="D22" s="156">
        <v>2</v>
      </c>
      <c r="E22" s="87">
        <v>5</v>
      </c>
      <c r="F22" s="35" t="s">
        <v>393</v>
      </c>
      <c r="G22" s="87">
        <v>48</v>
      </c>
      <c r="H22" s="87">
        <f>14+15</f>
        <v>29</v>
      </c>
      <c r="I22" s="87">
        <f>8+14</f>
        <v>22</v>
      </c>
      <c r="J22" s="88">
        <f t="shared" si="0"/>
        <v>0.75862068965517238</v>
      </c>
      <c r="K22" s="89">
        <v>46050</v>
      </c>
      <c r="L22" s="89">
        <v>46126</v>
      </c>
      <c r="M22" s="89">
        <v>46175</v>
      </c>
      <c r="N22" s="125" t="s">
        <v>218</v>
      </c>
      <c r="O22" s="40" t="str">
        <f t="shared" si="1"/>
        <v>🟡 Rever em 02/07/2026</v>
      </c>
      <c r="P22" s="41" t="str">
        <f t="shared" si="2"/>
        <v>📌 Atenção: Alta incidência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 x14ac:dyDescent="0.2">
      <c r="A23" s="1"/>
      <c r="B23" s="213"/>
      <c r="C23" s="156">
        <v>16</v>
      </c>
      <c r="D23" s="156">
        <v>3</v>
      </c>
      <c r="E23" s="87">
        <v>3</v>
      </c>
      <c r="F23" s="35" t="s">
        <v>394</v>
      </c>
      <c r="G23" s="87">
        <v>13</v>
      </c>
      <c r="H23" s="87">
        <f>28+15</f>
        <v>43</v>
      </c>
      <c r="I23" s="87">
        <f>18+14</f>
        <v>32</v>
      </c>
      <c r="J23" s="88">
        <f t="shared" si="0"/>
        <v>0.7441860465116279</v>
      </c>
      <c r="K23" s="89">
        <v>46088</v>
      </c>
      <c r="L23" s="89">
        <v>46099</v>
      </c>
      <c r="M23" s="89">
        <v>46171</v>
      </c>
      <c r="N23" s="125" t="s">
        <v>220</v>
      </c>
      <c r="O23" s="40" t="str">
        <f t="shared" si="1"/>
        <v>🟡 Rever em 28/06/2026</v>
      </c>
      <c r="P23" s="41" t="str">
        <f t="shared" si="2"/>
        <v>📌 Atenção: Alta incidência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 x14ac:dyDescent="0.2">
      <c r="A24" s="1"/>
      <c r="B24" s="213"/>
      <c r="C24" s="156">
        <v>5</v>
      </c>
      <c r="D24" s="156">
        <v>0</v>
      </c>
      <c r="E24" s="87">
        <v>3</v>
      </c>
      <c r="F24" s="35" t="s">
        <v>395</v>
      </c>
      <c r="G24" s="87">
        <v>26</v>
      </c>
      <c r="H24" s="87">
        <f>42+15</f>
        <v>57</v>
      </c>
      <c r="I24" s="87">
        <f>30+11</f>
        <v>41</v>
      </c>
      <c r="J24" s="88">
        <f t="shared" si="0"/>
        <v>0.7192982456140351</v>
      </c>
      <c r="K24" s="89">
        <v>46132</v>
      </c>
      <c r="L24" s="89">
        <v>46140</v>
      </c>
      <c r="M24" s="89">
        <v>46168</v>
      </c>
      <c r="N24" s="125" t="s">
        <v>215</v>
      </c>
      <c r="O24" s="40" t="str">
        <f t="shared" si="1"/>
        <v>🟡 Rever em 25/06/2026</v>
      </c>
      <c r="P24" s="41" t="str">
        <f t="shared" si="2"/>
        <v>📌 Atenção: Alta incidência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 x14ac:dyDescent="0.2">
      <c r="A25" s="1"/>
      <c r="B25" s="213"/>
      <c r="C25" s="156">
        <v>3</v>
      </c>
      <c r="D25" s="156">
        <v>3</v>
      </c>
      <c r="E25" s="87">
        <v>5</v>
      </c>
      <c r="F25" s="35" t="s">
        <v>173</v>
      </c>
      <c r="G25" s="87">
        <v>40</v>
      </c>
      <c r="H25" s="87">
        <v>37</v>
      </c>
      <c r="I25" s="87">
        <v>34</v>
      </c>
      <c r="J25" s="88">
        <f t="shared" si="0"/>
        <v>0.91891891891891897</v>
      </c>
      <c r="K25" s="89">
        <v>46088</v>
      </c>
      <c r="L25" s="89">
        <v>46097</v>
      </c>
      <c r="M25" s="89">
        <v>46130</v>
      </c>
      <c r="N25" s="125" t="s">
        <v>219</v>
      </c>
      <c r="O25" s="40" t="str">
        <f t="shared" si="1"/>
        <v>✅ Rever em 17/06/2026</v>
      </c>
      <c r="P25" s="41" t="str">
        <f t="shared" si="2"/>
        <v/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 x14ac:dyDescent="0.2">
      <c r="A26" s="1"/>
      <c r="B26" s="213"/>
      <c r="C26" s="156">
        <v>3</v>
      </c>
      <c r="D26" s="156">
        <v>2</v>
      </c>
      <c r="E26" s="87">
        <v>5</v>
      </c>
      <c r="F26" s="35" t="s">
        <v>396</v>
      </c>
      <c r="G26" s="87">
        <v>77</v>
      </c>
      <c r="H26" s="87">
        <v>50</v>
      </c>
      <c r="I26" s="87"/>
      <c r="J26" s="88">
        <f t="shared" si="0"/>
        <v>0</v>
      </c>
      <c r="K26" s="89"/>
      <c r="L26" s="89"/>
      <c r="M26" s="89"/>
      <c r="N26" s="125" t="s">
        <v>230</v>
      </c>
      <c r="O26" s="40" t="str">
        <f t="shared" si="1"/>
        <v>⬜ Aguardando 3º contato</v>
      </c>
      <c r="P26" s="41" t="str">
        <f t="shared" si="2"/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 x14ac:dyDescent="0.2">
      <c r="A27" s="1"/>
      <c r="B27" s="213"/>
      <c r="C27" s="156">
        <v>1</v>
      </c>
      <c r="D27" s="156">
        <v>2</v>
      </c>
      <c r="E27" s="87">
        <v>4</v>
      </c>
      <c r="F27" s="35" t="s">
        <v>397</v>
      </c>
      <c r="G27" s="87">
        <v>25</v>
      </c>
      <c r="H27" s="87">
        <v>37</v>
      </c>
      <c r="I27" s="87">
        <v>29</v>
      </c>
      <c r="J27" s="88">
        <v>0.78400000000000003</v>
      </c>
      <c r="K27" s="89">
        <v>46139</v>
      </c>
      <c r="L27" s="89">
        <v>46154</v>
      </c>
      <c r="M27" s="89">
        <v>46167</v>
      </c>
      <c r="N27" s="125" t="s">
        <v>591</v>
      </c>
      <c r="O27" s="40" t="str">
        <f t="shared" si="1"/>
        <v>🟡 Rever em 24/06/2026</v>
      </c>
      <c r="P27" s="41" t="str">
        <f t="shared" si="2"/>
        <v/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 x14ac:dyDescent="0.2">
      <c r="A28" s="1"/>
      <c r="B28" s="213"/>
      <c r="C28" s="156">
        <v>2</v>
      </c>
      <c r="D28" s="156">
        <v>0</v>
      </c>
      <c r="E28" s="87">
        <v>3</v>
      </c>
      <c r="F28" s="35" t="s">
        <v>398</v>
      </c>
      <c r="G28" s="87">
        <v>33</v>
      </c>
      <c r="H28" s="87">
        <v>30</v>
      </c>
      <c r="I28" s="87"/>
      <c r="J28" s="88">
        <f t="shared" si="0"/>
        <v>0</v>
      </c>
      <c r="K28" s="89"/>
      <c r="L28" s="89"/>
      <c r="M28" s="89"/>
      <c r="N28" s="125" t="s">
        <v>232</v>
      </c>
      <c r="O28" s="40" t="str">
        <f t="shared" si="1"/>
        <v>⬜ Aguardando 3º contato</v>
      </c>
      <c r="P28" s="41" t="str">
        <f t="shared" si="2"/>
        <v/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x14ac:dyDescent="0.2">
      <c r="A29" s="1"/>
      <c r="B29" s="213"/>
      <c r="C29" s="156">
        <v>2</v>
      </c>
      <c r="D29" s="156">
        <v>0</v>
      </c>
      <c r="E29" s="87">
        <v>3</v>
      </c>
      <c r="F29" s="35" t="s">
        <v>174</v>
      </c>
      <c r="G29" s="87">
        <v>42</v>
      </c>
      <c r="H29" s="87">
        <v>30</v>
      </c>
      <c r="I29" s="87"/>
      <c r="J29" s="88">
        <f t="shared" si="0"/>
        <v>0</v>
      </c>
      <c r="K29" s="89"/>
      <c r="L29" s="89"/>
      <c r="M29" s="89"/>
      <c r="N29" s="125" t="s">
        <v>216</v>
      </c>
      <c r="O29" s="40" t="str">
        <f t="shared" si="1"/>
        <v>⬜ Aguardando 3º contato</v>
      </c>
      <c r="P29" s="41" t="str">
        <f t="shared" si="2"/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x14ac:dyDescent="0.2">
      <c r="A30" s="1"/>
      <c r="B30" s="213"/>
      <c r="C30" s="156">
        <v>0</v>
      </c>
      <c r="D30" s="156">
        <v>2</v>
      </c>
      <c r="E30" s="87">
        <v>3</v>
      </c>
      <c r="F30" s="35" t="s">
        <v>175</v>
      </c>
      <c r="G30" s="87">
        <v>28</v>
      </c>
      <c r="H30" s="87">
        <v>30</v>
      </c>
      <c r="I30" s="87"/>
      <c r="J30" s="88">
        <f t="shared" si="0"/>
        <v>0</v>
      </c>
      <c r="K30" s="89"/>
      <c r="L30" s="89"/>
      <c r="M30" s="89"/>
      <c r="N30" s="125" t="s">
        <v>591</v>
      </c>
      <c r="O30" s="40" t="str">
        <f t="shared" si="1"/>
        <v>⬜ Aguardando 3º contato</v>
      </c>
      <c r="P30" s="41" t="str">
        <f t="shared" si="2"/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 x14ac:dyDescent="0.2">
      <c r="A31" s="1"/>
      <c r="B31" s="213"/>
      <c r="C31" s="156">
        <v>0</v>
      </c>
      <c r="D31" s="156">
        <v>0</v>
      </c>
      <c r="E31" s="87">
        <v>3</v>
      </c>
      <c r="F31" s="35" t="s">
        <v>399</v>
      </c>
      <c r="G31" s="87">
        <v>31</v>
      </c>
      <c r="H31" s="87">
        <v>30</v>
      </c>
      <c r="I31" s="87"/>
      <c r="J31" s="88">
        <f t="shared" si="0"/>
        <v>0</v>
      </c>
      <c r="K31" s="89"/>
      <c r="L31" s="89"/>
      <c r="M31" s="89"/>
      <c r="N31" s="125" t="s">
        <v>588</v>
      </c>
      <c r="O31" s="40" t="str">
        <f t="shared" si="1"/>
        <v>⬜ Aguardando 3º contato</v>
      </c>
      <c r="P31" s="41" t="str">
        <f t="shared" si="2"/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 x14ac:dyDescent="0.2">
      <c r="A32" s="1"/>
      <c r="B32" s="213"/>
      <c r="C32" s="156">
        <v>1</v>
      </c>
      <c r="D32" s="156">
        <v>0</v>
      </c>
      <c r="E32" s="87">
        <v>2</v>
      </c>
      <c r="F32" s="35" t="s">
        <v>176</v>
      </c>
      <c r="G32" s="87">
        <v>28</v>
      </c>
      <c r="H32" s="87">
        <v>20</v>
      </c>
      <c r="I32" s="87"/>
      <c r="J32" s="88">
        <f t="shared" si="0"/>
        <v>0</v>
      </c>
      <c r="K32" s="89"/>
      <c r="L32" s="89"/>
      <c r="M32" s="89"/>
      <c r="N32" s="125" t="s">
        <v>217</v>
      </c>
      <c r="O32" s="40" t="str">
        <f t="shared" si="1"/>
        <v>⬜ Aguardando 3º contato</v>
      </c>
      <c r="P32" s="41" t="str">
        <f t="shared" si="2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 x14ac:dyDescent="0.2">
      <c r="A33" s="1"/>
      <c r="B33" s="213"/>
      <c r="C33" s="156">
        <v>1</v>
      </c>
      <c r="D33" s="156">
        <v>0</v>
      </c>
      <c r="E33" s="87">
        <v>4</v>
      </c>
      <c r="F33" s="35" t="s">
        <v>400</v>
      </c>
      <c r="G33" s="87">
        <v>20</v>
      </c>
      <c r="H33" s="87">
        <v>40</v>
      </c>
      <c r="I33" s="87"/>
      <c r="J33" s="88">
        <f t="shared" si="0"/>
        <v>0</v>
      </c>
      <c r="K33" s="89"/>
      <c r="L33" s="89"/>
      <c r="M33" s="89"/>
      <c r="N33" s="125" t="s">
        <v>223</v>
      </c>
      <c r="O33" s="40" t="str">
        <f t="shared" si="1"/>
        <v>⬜ Aguardando 3º contato</v>
      </c>
      <c r="P33" s="41" t="str">
        <f t="shared" si="2"/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 x14ac:dyDescent="0.2">
      <c r="A34" s="1"/>
      <c r="B34" s="213"/>
      <c r="C34" s="156">
        <v>13</v>
      </c>
      <c r="D34" s="156">
        <v>15</v>
      </c>
      <c r="E34" s="87">
        <v>3</v>
      </c>
      <c r="F34" s="35" t="s">
        <v>401</v>
      </c>
      <c r="G34" s="87">
        <v>26</v>
      </c>
      <c r="H34" s="87">
        <v>30</v>
      </c>
      <c r="I34" s="87"/>
      <c r="J34" s="88">
        <f t="shared" si="0"/>
        <v>0</v>
      </c>
      <c r="K34" s="89"/>
      <c r="L34" s="89"/>
      <c r="M34" s="89"/>
      <c r="N34" s="125" t="s">
        <v>625</v>
      </c>
      <c r="O34" s="40" t="str">
        <f t="shared" si="1"/>
        <v>⬜ Aguardando 3º contato</v>
      </c>
      <c r="P34" s="41" t="str">
        <f t="shared" si="2"/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 x14ac:dyDescent="0.2">
      <c r="A35" s="1"/>
      <c r="B35" s="214"/>
      <c r="C35" s="156">
        <v>1</v>
      </c>
      <c r="D35" s="156">
        <v>1</v>
      </c>
      <c r="E35" s="87">
        <v>3</v>
      </c>
      <c r="F35" s="35" t="s">
        <v>177</v>
      </c>
      <c r="G35" s="87">
        <v>18</v>
      </c>
      <c r="H35" s="87">
        <v>30</v>
      </c>
      <c r="I35" s="87"/>
      <c r="J35" s="88">
        <f t="shared" si="0"/>
        <v>0</v>
      </c>
      <c r="K35" s="89"/>
      <c r="L35" s="89"/>
      <c r="M35" s="89"/>
      <c r="N35" s="125" t="s">
        <v>591</v>
      </c>
      <c r="O35" s="40" t="str">
        <f t="shared" si="1"/>
        <v>⬜ Aguardando 3º contato</v>
      </c>
      <c r="P35" s="41" t="str">
        <f t="shared" si="2"/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 x14ac:dyDescent="0.2">
      <c r="A36" s="1"/>
      <c r="B36" s="212" t="s">
        <v>178</v>
      </c>
      <c r="C36" s="23">
        <v>6</v>
      </c>
      <c r="D36" s="23">
        <v>2</v>
      </c>
      <c r="E36" s="24">
        <v>4</v>
      </c>
      <c r="F36" s="25" t="s">
        <v>402</v>
      </c>
      <c r="G36" s="24">
        <v>50</v>
      </c>
      <c r="H36" s="24">
        <v>15</v>
      </c>
      <c r="I36" s="24">
        <v>11</v>
      </c>
      <c r="J36" s="82">
        <f t="shared" si="0"/>
        <v>0.73333333333333328</v>
      </c>
      <c r="K36" s="95">
        <v>46166</v>
      </c>
      <c r="L36" s="95"/>
      <c r="M36" s="95"/>
      <c r="N36" s="120" t="s">
        <v>227</v>
      </c>
      <c r="O36" s="30" t="str">
        <f t="shared" si="1"/>
        <v>⬜ Aguardando 3º contato</v>
      </c>
      <c r="P36" s="32" t="str">
        <f t="shared" si="2"/>
        <v>📌 Atenção: Alta incidência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 x14ac:dyDescent="0.2">
      <c r="A37" s="1"/>
      <c r="B37" s="213"/>
      <c r="C37" s="23">
        <v>3</v>
      </c>
      <c r="D37" s="23">
        <v>1</v>
      </c>
      <c r="E37" s="24">
        <v>4</v>
      </c>
      <c r="F37" s="25" t="s">
        <v>403</v>
      </c>
      <c r="G37" s="24">
        <v>45</v>
      </c>
      <c r="H37" s="24">
        <v>40</v>
      </c>
      <c r="I37" s="24"/>
      <c r="J37" s="82">
        <f t="shared" si="0"/>
        <v>0</v>
      </c>
      <c r="K37" s="95"/>
      <c r="L37" s="95"/>
      <c r="M37" s="95"/>
      <c r="N37" s="120" t="s">
        <v>229</v>
      </c>
      <c r="O37" s="30" t="str">
        <f t="shared" si="1"/>
        <v>⬜ Aguardando 3º contato</v>
      </c>
      <c r="P37" s="32" t="str">
        <f t="shared" si="2"/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 x14ac:dyDescent="0.2">
      <c r="A38" s="1"/>
      <c r="B38" s="213"/>
      <c r="C38" s="23">
        <v>3</v>
      </c>
      <c r="D38" s="23">
        <v>1</v>
      </c>
      <c r="E38" s="24">
        <v>4</v>
      </c>
      <c r="F38" s="25" t="s">
        <v>404</v>
      </c>
      <c r="G38" s="24">
        <v>53</v>
      </c>
      <c r="H38" s="24">
        <f>37+15</f>
        <v>52</v>
      </c>
      <c r="I38" s="24">
        <f>26+10</f>
        <v>36</v>
      </c>
      <c r="J38" s="82">
        <f t="shared" si="0"/>
        <v>0.69230769230769229</v>
      </c>
      <c r="K38" s="95">
        <v>46072</v>
      </c>
      <c r="L38" s="95">
        <v>46085</v>
      </c>
      <c r="M38" s="95">
        <v>46170</v>
      </c>
      <c r="N38" s="120" t="s">
        <v>228</v>
      </c>
      <c r="O38" s="30" t="str">
        <f t="shared" si="1"/>
        <v>🔴 Rever em 04/06/2026</v>
      </c>
      <c r="P38" s="32" t="str">
        <f t="shared" si="2"/>
        <v>⚠️ Baixo aproveitamento - revisar urgente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 x14ac:dyDescent="0.2">
      <c r="A39" s="1"/>
      <c r="B39" s="213"/>
      <c r="C39" s="23">
        <v>6</v>
      </c>
      <c r="D39" s="23">
        <v>2</v>
      </c>
      <c r="E39" s="24">
        <v>4</v>
      </c>
      <c r="F39" s="25" t="s">
        <v>405</v>
      </c>
      <c r="G39" s="24">
        <v>39</v>
      </c>
      <c r="H39" s="24">
        <v>40</v>
      </c>
      <c r="I39" s="24"/>
      <c r="J39" s="82">
        <f t="shared" si="0"/>
        <v>0</v>
      </c>
      <c r="K39" s="95"/>
      <c r="L39" s="95"/>
      <c r="M39" s="95"/>
      <c r="N39" s="120" t="s">
        <v>626</v>
      </c>
      <c r="O39" s="30" t="str">
        <f t="shared" si="1"/>
        <v>⬜ Aguardando 3º contato</v>
      </c>
      <c r="P39" s="32" t="str">
        <f t="shared" si="2"/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 x14ac:dyDescent="0.2">
      <c r="A40" s="1"/>
      <c r="B40" s="213"/>
      <c r="C40" s="23">
        <v>3</v>
      </c>
      <c r="D40" s="23">
        <v>0</v>
      </c>
      <c r="E40" s="24">
        <v>3</v>
      </c>
      <c r="F40" s="25" t="s">
        <v>406</v>
      </c>
      <c r="G40" s="24">
        <v>25</v>
      </c>
      <c r="H40" s="24">
        <v>30</v>
      </c>
      <c r="I40" s="24"/>
      <c r="J40" s="82">
        <f t="shared" si="0"/>
        <v>0</v>
      </c>
      <c r="K40" s="95"/>
      <c r="L40" s="95"/>
      <c r="M40" s="95"/>
      <c r="N40" s="120" t="s">
        <v>226</v>
      </c>
      <c r="O40" s="30" t="str">
        <f t="shared" si="1"/>
        <v>⬜ Aguardando 3º contato</v>
      </c>
      <c r="P40" s="32" t="str">
        <f t="shared" si="2"/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 x14ac:dyDescent="0.2">
      <c r="A41" s="1"/>
      <c r="B41" s="213"/>
      <c r="C41" s="23">
        <v>0</v>
      </c>
      <c r="D41" s="23">
        <v>0</v>
      </c>
      <c r="E41" s="24">
        <v>3</v>
      </c>
      <c r="F41" s="25" t="s">
        <v>407</v>
      </c>
      <c r="G41" s="24">
        <v>41</v>
      </c>
      <c r="H41" s="24">
        <v>30</v>
      </c>
      <c r="I41" s="24"/>
      <c r="J41" s="82">
        <f t="shared" si="0"/>
        <v>0</v>
      </c>
      <c r="K41" s="95"/>
      <c r="L41" s="95"/>
      <c r="M41" s="95"/>
      <c r="N41" s="120" t="s">
        <v>588</v>
      </c>
      <c r="O41" s="30" t="str">
        <f t="shared" si="1"/>
        <v>⬜ Aguardando 3º contato</v>
      </c>
      <c r="P41" s="32" t="str">
        <f t="shared" si="2"/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 x14ac:dyDescent="0.2">
      <c r="A42" s="1"/>
      <c r="B42" s="213"/>
      <c r="C42" s="23">
        <v>0</v>
      </c>
      <c r="D42" s="23">
        <v>2</v>
      </c>
      <c r="E42" s="24">
        <v>3</v>
      </c>
      <c r="F42" s="25" t="s">
        <v>408</v>
      </c>
      <c r="G42" s="24">
        <v>29</v>
      </c>
      <c r="H42" s="24">
        <v>30</v>
      </c>
      <c r="I42" s="24"/>
      <c r="J42" s="82">
        <f t="shared" si="0"/>
        <v>0</v>
      </c>
      <c r="K42" s="95"/>
      <c r="L42" s="95"/>
      <c r="M42" s="95"/>
      <c r="N42" s="120" t="s">
        <v>591</v>
      </c>
      <c r="O42" s="30" t="str">
        <f t="shared" si="1"/>
        <v>⬜ Aguardando 3º contato</v>
      </c>
      <c r="P42" s="32" t="str">
        <f t="shared" si="2"/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x14ac:dyDescent="0.2">
      <c r="A43" s="1"/>
      <c r="B43" s="214"/>
      <c r="C43" s="23">
        <v>0</v>
      </c>
      <c r="D43" s="23">
        <v>0</v>
      </c>
      <c r="E43" s="24">
        <v>2</v>
      </c>
      <c r="F43" s="25" t="s">
        <v>96</v>
      </c>
      <c r="G43" s="24">
        <v>17</v>
      </c>
      <c r="H43" s="24">
        <v>20</v>
      </c>
      <c r="I43" s="24"/>
      <c r="J43" s="82">
        <f t="shared" si="0"/>
        <v>0</v>
      </c>
      <c r="K43" s="95"/>
      <c r="L43" s="95"/>
      <c r="M43" s="95"/>
      <c r="N43" s="120" t="s">
        <v>588</v>
      </c>
      <c r="O43" s="30" t="str">
        <f t="shared" si="1"/>
        <v>⬜ Aguardando 3º contato</v>
      </c>
      <c r="P43" s="32" t="str">
        <f t="shared" si="2"/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x14ac:dyDescent="0.2">
      <c r="A44" s="1"/>
      <c r="B44" s="157" t="s">
        <v>13</v>
      </c>
      <c r="C44" s="156">
        <v>1</v>
      </c>
      <c r="D44" s="156">
        <v>4</v>
      </c>
      <c r="E44" s="87">
        <v>4</v>
      </c>
      <c r="F44" s="35" t="s">
        <v>179</v>
      </c>
      <c r="G44" s="34">
        <v>30</v>
      </c>
      <c r="H44" s="34">
        <v>30</v>
      </c>
      <c r="I44" s="34">
        <v>15</v>
      </c>
      <c r="J44" s="88">
        <f t="shared" si="0"/>
        <v>0.5</v>
      </c>
      <c r="K44" s="96">
        <v>46141</v>
      </c>
      <c r="L44" s="96">
        <v>46154</v>
      </c>
      <c r="M44" s="96"/>
      <c r="N44" s="125" t="s">
        <v>336</v>
      </c>
      <c r="O44" s="40" t="str">
        <f t="shared" si="1"/>
        <v>⬜ Aguardando 3º contato</v>
      </c>
      <c r="P44" s="41" t="str">
        <f t="shared" si="2"/>
        <v>🚨 CRÍTICO: Alta incidência + baixo aproveitamento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 x14ac:dyDescent="0.2">
      <c r="A45" s="1"/>
      <c r="B45" s="212" t="s">
        <v>81</v>
      </c>
      <c r="C45" s="158">
        <v>1</v>
      </c>
      <c r="D45" s="158">
        <v>3</v>
      </c>
      <c r="E45" s="81">
        <v>5</v>
      </c>
      <c r="F45" s="25" t="s">
        <v>409</v>
      </c>
      <c r="G45" s="81">
        <v>30</v>
      </c>
      <c r="H45" s="81">
        <v>30</v>
      </c>
      <c r="I45" s="81">
        <v>20</v>
      </c>
      <c r="J45" s="82">
        <f t="shared" si="0"/>
        <v>0.66666666666666663</v>
      </c>
      <c r="K45" s="83">
        <v>46140</v>
      </c>
      <c r="L45" s="83">
        <v>46148</v>
      </c>
      <c r="M45" s="83"/>
      <c r="N45" s="120" t="s">
        <v>332</v>
      </c>
      <c r="O45" s="30" t="str">
        <f t="shared" si="1"/>
        <v>⬜ Aguardando 3º contato</v>
      </c>
      <c r="P45" s="32" t="str">
        <f t="shared" si="2"/>
        <v>⚠️ Baixo aproveitamento - revisar urgente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 x14ac:dyDescent="0.2">
      <c r="A46" s="1"/>
      <c r="B46" s="213"/>
      <c r="C46" s="158">
        <v>0</v>
      </c>
      <c r="D46" s="158">
        <v>3</v>
      </c>
      <c r="E46" s="81">
        <v>3</v>
      </c>
      <c r="F46" s="25" t="s">
        <v>410</v>
      </c>
      <c r="G46" s="81">
        <v>22</v>
      </c>
      <c r="H46" s="81">
        <v>30</v>
      </c>
      <c r="I46" s="81"/>
      <c r="J46" s="82">
        <f t="shared" si="0"/>
        <v>0</v>
      </c>
      <c r="K46" s="83"/>
      <c r="L46" s="83"/>
      <c r="M46" s="83"/>
      <c r="N46" s="120" t="s">
        <v>333</v>
      </c>
      <c r="O46" s="30" t="str">
        <f t="shared" si="1"/>
        <v>⬜ Aguardando 3º contato</v>
      </c>
      <c r="P46" s="32" t="str">
        <f t="shared" si="2"/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 x14ac:dyDescent="0.2">
      <c r="A47" s="1"/>
      <c r="B47" s="213"/>
      <c r="C47" s="158">
        <v>0</v>
      </c>
      <c r="D47" s="158">
        <v>2</v>
      </c>
      <c r="E47" s="81">
        <v>3</v>
      </c>
      <c r="F47" s="25" t="s">
        <v>180</v>
      </c>
      <c r="G47" s="81">
        <v>16</v>
      </c>
      <c r="H47" s="81">
        <v>30</v>
      </c>
      <c r="I47" s="81"/>
      <c r="J47" s="82">
        <f t="shared" si="0"/>
        <v>0</v>
      </c>
      <c r="K47" s="83"/>
      <c r="L47" s="83"/>
      <c r="M47" s="83"/>
      <c r="N47" s="120" t="s">
        <v>591</v>
      </c>
      <c r="O47" s="30" t="str">
        <f t="shared" si="1"/>
        <v>⬜ Aguardando 3º contato</v>
      </c>
      <c r="P47" s="32" t="str">
        <f t="shared" si="2"/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 x14ac:dyDescent="0.2">
      <c r="A48" s="1"/>
      <c r="B48" s="214"/>
      <c r="C48" s="158">
        <v>2</v>
      </c>
      <c r="D48" s="158">
        <v>1</v>
      </c>
      <c r="E48" s="81">
        <v>3</v>
      </c>
      <c r="F48" s="25" t="s">
        <v>411</v>
      </c>
      <c r="G48" s="81">
        <v>15</v>
      </c>
      <c r="H48" s="81">
        <v>30</v>
      </c>
      <c r="I48" s="81"/>
      <c r="J48" s="82">
        <f t="shared" si="0"/>
        <v>0</v>
      </c>
      <c r="K48" s="83"/>
      <c r="L48" s="83"/>
      <c r="M48" s="83"/>
      <c r="N48" s="120" t="s">
        <v>237</v>
      </c>
      <c r="O48" s="30" t="str">
        <f t="shared" si="1"/>
        <v>⬜ Aguardando 3º contato</v>
      </c>
      <c r="P48" s="32" t="str">
        <f t="shared" si="2"/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 x14ac:dyDescent="0.2">
      <c r="A49" s="1"/>
      <c r="B49" s="157" t="s">
        <v>80</v>
      </c>
      <c r="C49" s="33">
        <v>0</v>
      </c>
      <c r="D49" s="33">
        <v>2</v>
      </c>
      <c r="E49" s="34">
        <v>3</v>
      </c>
      <c r="F49" s="35" t="s">
        <v>412</v>
      </c>
      <c r="G49" s="34">
        <v>33</v>
      </c>
      <c r="H49" s="34">
        <v>30</v>
      </c>
      <c r="I49" s="34"/>
      <c r="J49" s="88">
        <f t="shared" si="0"/>
        <v>0</v>
      </c>
      <c r="K49" s="96"/>
      <c r="L49" s="96"/>
      <c r="M49" s="96"/>
      <c r="N49" s="125" t="s">
        <v>591</v>
      </c>
      <c r="O49" s="40" t="str">
        <f t="shared" si="1"/>
        <v>⬜ Aguardando 3º contato</v>
      </c>
      <c r="P49" s="41" t="str">
        <f t="shared" si="2"/>
        <v/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 x14ac:dyDescent="0.2">
      <c r="A50" s="1"/>
      <c r="B50" s="212" t="s">
        <v>22</v>
      </c>
      <c r="C50" s="158">
        <v>2</v>
      </c>
      <c r="D50" s="158">
        <v>0</v>
      </c>
      <c r="E50" s="81">
        <v>2</v>
      </c>
      <c r="F50" s="25" t="s">
        <v>413</v>
      </c>
      <c r="G50" s="24">
        <v>22</v>
      </c>
      <c r="H50" s="24">
        <v>20</v>
      </c>
      <c r="I50" s="24"/>
      <c r="J50" s="82">
        <f t="shared" si="0"/>
        <v>0</v>
      </c>
      <c r="K50" s="95"/>
      <c r="L50" s="95"/>
      <c r="M50" s="95"/>
      <c r="N50" s="120" t="s">
        <v>233</v>
      </c>
      <c r="O50" s="30" t="str">
        <f t="shared" si="1"/>
        <v>⬜ Aguardando 3º contato</v>
      </c>
      <c r="P50" s="32" t="str">
        <f t="shared" si="2"/>
        <v/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 x14ac:dyDescent="0.2">
      <c r="A51" s="1"/>
      <c r="B51" s="213"/>
      <c r="C51" s="158">
        <v>3</v>
      </c>
      <c r="D51" s="158">
        <v>5</v>
      </c>
      <c r="E51" s="81">
        <v>3</v>
      </c>
      <c r="F51" s="25" t="s">
        <v>181</v>
      </c>
      <c r="G51" s="24">
        <v>19</v>
      </c>
      <c r="H51" s="24">
        <v>30</v>
      </c>
      <c r="I51" s="24"/>
      <c r="J51" s="82">
        <f t="shared" si="0"/>
        <v>0</v>
      </c>
      <c r="K51" s="95"/>
      <c r="L51" s="95"/>
      <c r="M51" s="95"/>
      <c r="N51" s="120" t="s">
        <v>234</v>
      </c>
      <c r="O51" s="30" t="str">
        <f t="shared" si="1"/>
        <v>⬜ Aguardando 3º contato</v>
      </c>
      <c r="P51" s="32" t="str">
        <f t="shared" si="2"/>
        <v/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 x14ac:dyDescent="0.2">
      <c r="A52" s="1"/>
      <c r="B52" s="213"/>
      <c r="C52" s="232">
        <v>1</v>
      </c>
      <c r="D52" s="158">
        <v>1</v>
      </c>
      <c r="E52" s="81">
        <v>2</v>
      </c>
      <c r="F52" s="25" t="s">
        <v>414</v>
      </c>
      <c r="G52" s="24">
        <v>12</v>
      </c>
      <c r="H52" s="24">
        <v>20</v>
      </c>
      <c r="I52" s="24"/>
      <c r="J52" s="82">
        <f t="shared" si="0"/>
        <v>0</v>
      </c>
      <c r="K52" s="95"/>
      <c r="L52" s="95"/>
      <c r="M52" s="95"/>
      <c r="N52" s="120" t="s">
        <v>591</v>
      </c>
      <c r="O52" s="30" t="str">
        <f t="shared" si="1"/>
        <v>⬜ Aguardando 3º contato</v>
      </c>
      <c r="P52" s="32" t="str">
        <f t="shared" si="2"/>
        <v/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 x14ac:dyDescent="0.2">
      <c r="A53" s="1"/>
      <c r="B53" s="213"/>
      <c r="C53" s="222"/>
      <c r="D53" s="158">
        <v>0</v>
      </c>
      <c r="E53" s="81">
        <v>1</v>
      </c>
      <c r="F53" s="25" t="s">
        <v>415</v>
      </c>
      <c r="G53" s="24">
        <v>10</v>
      </c>
      <c r="H53" s="24">
        <v>10</v>
      </c>
      <c r="I53" s="24"/>
      <c r="J53" s="82">
        <f t="shared" si="0"/>
        <v>0</v>
      </c>
      <c r="K53" s="95"/>
      <c r="L53" s="95"/>
      <c r="M53" s="95"/>
      <c r="N53" s="120" t="s">
        <v>588</v>
      </c>
      <c r="O53" s="30" t="str">
        <f t="shared" si="1"/>
        <v>⬜ Aguardando 3º contato</v>
      </c>
      <c r="P53" s="32" t="str">
        <f t="shared" si="2"/>
        <v/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 x14ac:dyDescent="0.2">
      <c r="A54" s="1"/>
      <c r="B54" s="214"/>
      <c r="C54" s="158">
        <v>0</v>
      </c>
      <c r="D54" s="158">
        <v>0</v>
      </c>
      <c r="E54" s="81">
        <v>3</v>
      </c>
      <c r="F54" s="25" t="s">
        <v>182</v>
      </c>
      <c r="G54" s="24">
        <v>20</v>
      </c>
      <c r="H54" s="24">
        <v>30</v>
      </c>
      <c r="I54" s="24"/>
      <c r="J54" s="82">
        <f t="shared" si="0"/>
        <v>0</v>
      </c>
      <c r="K54" s="95"/>
      <c r="L54" s="95"/>
      <c r="M54" s="95"/>
      <c r="N54" s="120" t="s">
        <v>588</v>
      </c>
      <c r="O54" s="30" t="str">
        <f t="shared" si="1"/>
        <v>⬜ Aguardando 3º contato</v>
      </c>
      <c r="P54" s="32" t="str">
        <f t="shared" si="2"/>
        <v/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">
      <c r="A55" s="1"/>
      <c r="B55" s="157" t="s">
        <v>183</v>
      </c>
      <c r="C55" s="156">
        <v>5</v>
      </c>
      <c r="D55" s="156">
        <v>4</v>
      </c>
      <c r="E55" s="87">
        <v>2</v>
      </c>
      <c r="F55" s="35" t="s">
        <v>184</v>
      </c>
      <c r="G55" s="87">
        <v>11</v>
      </c>
      <c r="H55" s="87">
        <v>20</v>
      </c>
      <c r="I55" s="87"/>
      <c r="J55" s="88">
        <f t="shared" si="0"/>
        <v>0</v>
      </c>
      <c r="K55" s="89"/>
      <c r="L55" s="89"/>
      <c r="M55" s="89"/>
      <c r="N55" s="125" t="s">
        <v>591</v>
      </c>
      <c r="O55" s="40" t="str">
        <f t="shared" si="1"/>
        <v>⬜ Aguardando 3º contato</v>
      </c>
      <c r="P55" s="97" t="str">
        <f t="shared" si="2"/>
        <v/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">
      <c r="A56" s="1"/>
      <c r="B56" s="52"/>
      <c r="C56" s="53"/>
      <c r="D56" s="53"/>
      <c r="E56" s="206" t="s">
        <v>101</v>
      </c>
      <c r="F56" s="207"/>
      <c r="G56" s="54">
        <v>24</v>
      </c>
      <c r="H56" s="54">
        <v>1574</v>
      </c>
      <c r="I56" s="55"/>
      <c r="J56" s="55"/>
      <c r="K56" s="52"/>
      <c r="L56" s="52"/>
      <c r="M56" s="52"/>
      <c r="N56" s="56"/>
      <c r="O56" s="57"/>
      <c r="P56" s="5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">
      <c r="A57" s="1"/>
      <c r="B57" s="52"/>
      <c r="C57" s="52"/>
      <c r="D57" s="52"/>
      <c r="E57" s="52"/>
      <c r="F57" s="56"/>
      <c r="G57" s="58" t="s">
        <v>102</v>
      </c>
      <c r="H57" s="59" t="s">
        <v>103</v>
      </c>
      <c r="I57" s="59"/>
      <c r="J57" s="59"/>
      <c r="K57" s="52"/>
      <c r="L57" s="52"/>
      <c r="M57" s="52"/>
      <c r="N57" s="56"/>
      <c r="O57" s="57"/>
      <c r="P57" s="5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">
      <c r="A58" s="1"/>
      <c r="B58" s="1"/>
      <c r="C58" s="3"/>
      <c r="D58" s="3"/>
      <c r="E58" s="3"/>
      <c r="F58" s="4"/>
      <c r="G58" s="2"/>
      <c r="H58" s="2"/>
      <c r="I58" s="2"/>
      <c r="J58" s="2"/>
      <c r="K58" s="133"/>
      <c r="L58" s="133"/>
      <c r="M58" s="133"/>
      <c r="N58" s="134"/>
      <c r="O58" s="4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">
      <c r="A59" s="1"/>
      <c r="B59" s="1"/>
      <c r="C59" s="3"/>
      <c r="D59" s="3"/>
      <c r="E59" s="3"/>
      <c r="F59" s="4"/>
      <c r="G59" s="2"/>
      <c r="H59" s="2"/>
      <c r="I59" s="2"/>
      <c r="J59" s="2"/>
      <c r="K59" s="133"/>
      <c r="L59" s="133"/>
      <c r="M59" s="133"/>
      <c r="N59" s="134"/>
      <c r="O59" s="4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">
      <c r="A60" s="1"/>
      <c r="B60" s="1"/>
      <c r="C60" s="3"/>
      <c r="D60" s="3"/>
      <c r="E60" s="3"/>
      <c r="F60" s="4"/>
      <c r="G60" s="2"/>
      <c r="H60" s="2"/>
      <c r="I60" s="2"/>
      <c r="J60" s="2"/>
      <c r="K60" s="133"/>
      <c r="L60" s="133"/>
      <c r="M60" s="133"/>
      <c r="N60" s="134"/>
      <c r="O60" s="4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">
      <c r="A61" s="1"/>
      <c r="B61" s="1"/>
      <c r="C61" s="3"/>
      <c r="D61" s="3"/>
      <c r="E61" s="3"/>
      <c r="F61" s="4"/>
      <c r="G61" s="2"/>
      <c r="H61" s="2"/>
      <c r="I61" s="2"/>
      <c r="J61" s="2"/>
      <c r="K61" s="133"/>
      <c r="L61" s="133"/>
      <c r="M61" s="133"/>
      <c r="N61" s="134"/>
      <c r="O61" s="4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">
      <c r="A62" s="1"/>
      <c r="B62" s="1"/>
      <c r="C62" s="3"/>
      <c r="D62" s="3"/>
      <c r="E62" s="3"/>
      <c r="F62" s="4"/>
      <c r="G62" s="2"/>
      <c r="H62" s="2"/>
      <c r="I62" s="2"/>
      <c r="J62" s="2"/>
      <c r="K62" s="133"/>
      <c r="L62" s="133"/>
      <c r="M62" s="133"/>
      <c r="N62" s="134"/>
      <c r="O62" s="4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">
      <c r="A63" s="1"/>
      <c r="B63" s="1"/>
      <c r="C63" s="3"/>
      <c r="D63" s="3"/>
      <c r="E63" s="3"/>
      <c r="F63" s="4"/>
      <c r="G63" s="2"/>
      <c r="H63" s="2"/>
      <c r="I63" s="2"/>
      <c r="J63" s="2"/>
      <c r="K63" s="133"/>
      <c r="L63" s="133"/>
      <c r="M63" s="133"/>
      <c r="N63" s="134"/>
      <c r="O63" s="4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">
      <c r="A64" s="1"/>
      <c r="B64" s="1"/>
      <c r="C64" s="3"/>
      <c r="D64" s="3"/>
      <c r="E64" s="3"/>
      <c r="F64" s="4"/>
      <c r="G64" s="2"/>
      <c r="H64" s="2"/>
      <c r="I64" s="2"/>
      <c r="J64" s="2"/>
      <c r="K64" s="133"/>
      <c r="L64" s="133"/>
      <c r="M64" s="133"/>
      <c r="N64" s="134"/>
      <c r="O64" s="4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">
      <c r="A65" s="1"/>
      <c r="B65" s="1"/>
      <c r="C65" s="3"/>
      <c r="D65" s="3"/>
      <c r="E65" s="3"/>
      <c r="F65" s="4"/>
      <c r="G65" s="2"/>
      <c r="H65" s="2"/>
      <c r="I65" s="2"/>
      <c r="J65" s="2"/>
      <c r="K65" s="133"/>
      <c r="L65" s="133"/>
      <c r="M65" s="133"/>
      <c r="N65" s="134"/>
      <c r="O65" s="4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">
      <c r="A66" s="1"/>
      <c r="B66" s="1"/>
      <c r="C66" s="3"/>
      <c r="D66" s="3"/>
      <c r="E66" s="3"/>
      <c r="F66" s="4"/>
      <c r="G66" s="2"/>
      <c r="H66" s="2"/>
      <c r="I66" s="2"/>
      <c r="J66" s="2"/>
      <c r="K66" s="133"/>
      <c r="L66" s="133"/>
      <c r="M66" s="133"/>
      <c r="N66" s="134"/>
      <c r="O66" s="4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">
      <c r="A67" s="1"/>
      <c r="B67" s="1"/>
      <c r="C67" s="3"/>
      <c r="D67" s="3"/>
      <c r="E67" s="3"/>
      <c r="F67" s="4"/>
      <c r="G67" s="2"/>
      <c r="H67" s="2"/>
      <c r="I67" s="2"/>
      <c r="J67" s="2"/>
      <c r="K67" s="133"/>
      <c r="L67" s="133"/>
      <c r="M67" s="133"/>
      <c r="N67" s="134"/>
      <c r="O67" s="4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">
      <c r="A68" s="1"/>
      <c r="B68" s="1"/>
      <c r="C68" s="3"/>
      <c r="D68" s="3"/>
      <c r="E68" s="3"/>
      <c r="F68" s="4"/>
      <c r="G68" s="2"/>
      <c r="H68" s="2"/>
      <c r="I68" s="2"/>
      <c r="J68" s="2"/>
      <c r="K68" s="133"/>
      <c r="L68" s="133"/>
      <c r="M68" s="133"/>
      <c r="N68" s="134"/>
      <c r="O68" s="4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">
      <c r="A69" s="1"/>
      <c r="B69" s="1"/>
      <c r="C69" s="3"/>
      <c r="D69" s="3"/>
      <c r="E69" s="3"/>
      <c r="F69" s="4"/>
      <c r="G69" s="2"/>
      <c r="H69" s="2"/>
      <c r="I69" s="2"/>
      <c r="J69" s="2"/>
      <c r="K69" s="133"/>
      <c r="L69" s="133"/>
      <c r="M69" s="133"/>
      <c r="N69" s="134"/>
      <c r="O69" s="4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">
      <c r="A70" s="1"/>
      <c r="B70" s="1"/>
      <c r="C70" s="3"/>
      <c r="D70" s="3"/>
      <c r="E70" s="3"/>
      <c r="F70" s="4"/>
      <c r="G70" s="2"/>
      <c r="H70" s="2"/>
      <c r="I70" s="2"/>
      <c r="J70" s="2"/>
      <c r="K70" s="133"/>
      <c r="L70" s="133"/>
      <c r="M70" s="133"/>
      <c r="N70" s="134"/>
      <c r="O70" s="4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">
      <c r="A71" s="1"/>
      <c r="B71" s="1"/>
      <c r="C71" s="3"/>
      <c r="D71" s="3"/>
      <c r="E71" s="3"/>
      <c r="F71" s="4"/>
      <c r="G71" s="2"/>
      <c r="H71" s="2"/>
      <c r="I71" s="2"/>
      <c r="J71" s="2"/>
      <c r="K71" s="133"/>
      <c r="L71" s="133"/>
      <c r="M71" s="133"/>
      <c r="N71" s="134"/>
      <c r="O71" s="4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">
      <c r="A72" s="1"/>
      <c r="B72" s="1"/>
      <c r="C72" s="3"/>
      <c r="D72" s="3"/>
      <c r="E72" s="3"/>
      <c r="F72" s="4"/>
      <c r="G72" s="2"/>
      <c r="H72" s="2"/>
      <c r="I72" s="2"/>
      <c r="J72" s="2"/>
      <c r="K72" s="133"/>
      <c r="L72" s="133"/>
      <c r="M72" s="133"/>
      <c r="N72" s="134"/>
      <c r="O72" s="4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">
      <c r="A73" s="1"/>
      <c r="B73" s="1"/>
      <c r="C73" s="3"/>
      <c r="D73" s="3"/>
      <c r="E73" s="3"/>
      <c r="F73" s="4"/>
      <c r="G73" s="2"/>
      <c r="H73" s="2"/>
      <c r="I73" s="2"/>
      <c r="J73" s="2"/>
      <c r="K73" s="133"/>
      <c r="L73" s="133"/>
      <c r="M73" s="133"/>
      <c r="N73" s="134"/>
      <c r="O73" s="4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">
      <c r="A74" s="1"/>
      <c r="B74" s="1"/>
      <c r="C74" s="3"/>
      <c r="D74" s="3"/>
      <c r="E74" s="3"/>
      <c r="F74" s="4"/>
      <c r="G74" s="2"/>
      <c r="H74" s="2"/>
      <c r="I74" s="2"/>
      <c r="J74" s="2"/>
      <c r="K74" s="133"/>
      <c r="L74" s="133"/>
      <c r="M74" s="133"/>
      <c r="N74" s="134"/>
      <c r="O74" s="4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">
      <c r="A75" s="1"/>
      <c r="B75" s="1"/>
      <c r="C75" s="3"/>
      <c r="D75" s="3"/>
      <c r="E75" s="3"/>
      <c r="F75" s="4"/>
      <c r="G75" s="2"/>
      <c r="H75" s="2"/>
      <c r="I75" s="2"/>
      <c r="J75" s="2"/>
      <c r="K75" s="133"/>
      <c r="L75" s="133"/>
      <c r="M75" s="133"/>
      <c r="N75" s="13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">
      <c r="A76" s="1"/>
      <c r="B76" s="1"/>
      <c r="C76" s="3"/>
      <c r="D76" s="3"/>
      <c r="E76" s="3"/>
      <c r="F76" s="4"/>
      <c r="G76" s="2"/>
      <c r="H76" s="2"/>
      <c r="I76" s="2"/>
      <c r="J76" s="2"/>
      <c r="K76" s="133"/>
      <c r="L76" s="133"/>
      <c r="M76" s="133"/>
      <c r="N76" s="4"/>
      <c r="O76" s="4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">
      <c r="A77" s="1"/>
      <c r="B77" s="1"/>
      <c r="C77" s="3"/>
      <c r="D77" s="3"/>
      <c r="E77" s="3"/>
      <c r="F77" s="4"/>
      <c r="G77" s="2"/>
      <c r="H77" s="2"/>
      <c r="I77" s="2"/>
      <c r="J77" s="2"/>
      <c r="K77" s="133"/>
      <c r="L77" s="133"/>
      <c r="M77" s="133"/>
      <c r="N77" s="4"/>
      <c r="O77" s="4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">
      <c r="A78" s="1"/>
      <c r="B78" s="1"/>
      <c r="C78" s="3"/>
      <c r="D78" s="3"/>
      <c r="E78" s="3"/>
      <c r="F78" s="4"/>
      <c r="G78" s="2"/>
      <c r="H78" s="2"/>
      <c r="I78" s="2"/>
      <c r="J78" s="2"/>
      <c r="K78" s="133"/>
      <c r="L78" s="133"/>
      <c r="M78" s="133"/>
      <c r="N78" s="4"/>
      <c r="O78" s="4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">
      <c r="A79" s="1"/>
      <c r="B79" s="1"/>
      <c r="C79" s="3"/>
      <c r="D79" s="3"/>
      <c r="E79" s="3"/>
      <c r="F79" s="4"/>
      <c r="G79" s="2"/>
      <c r="H79" s="2"/>
      <c r="I79" s="2"/>
      <c r="J79" s="2"/>
      <c r="K79" s="133"/>
      <c r="L79" s="133"/>
      <c r="M79" s="133"/>
      <c r="N79" s="4"/>
      <c r="O79" s="4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">
      <c r="A80" s="1"/>
      <c r="B80" s="1"/>
      <c r="C80" s="3"/>
      <c r="D80" s="3"/>
      <c r="E80" s="3"/>
      <c r="F80" s="4"/>
      <c r="G80" s="2"/>
      <c r="H80" s="2"/>
      <c r="I80" s="2"/>
      <c r="J80" s="2"/>
      <c r="K80" s="133"/>
      <c r="L80" s="133"/>
      <c r="M80" s="133"/>
      <c r="N80" s="4"/>
      <c r="O80" s="4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">
      <c r="A81" s="1"/>
      <c r="B81" s="1"/>
      <c r="C81" s="3"/>
      <c r="D81" s="3"/>
      <c r="E81" s="3"/>
      <c r="F81" s="4"/>
      <c r="G81" s="2"/>
      <c r="H81" s="2"/>
      <c r="I81" s="2"/>
      <c r="J81" s="2"/>
      <c r="K81" s="133"/>
      <c r="L81" s="133"/>
      <c r="M81" s="133"/>
      <c r="N81" s="4"/>
      <c r="O81" s="4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">
      <c r="A82" s="1"/>
      <c r="B82" s="1"/>
      <c r="C82" s="3"/>
      <c r="D82" s="3"/>
      <c r="E82" s="3"/>
      <c r="F82" s="4"/>
      <c r="G82" s="2"/>
      <c r="H82" s="2"/>
      <c r="I82" s="2"/>
      <c r="J82" s="2"/>
      <c r="K82" s="133"/>
      <c r="L82" s="133"/>
      <c r="M82" s="133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">
      <c r="A83" s="1"/>
      <c r="B83" s="1"/>
      <c r="C83" s="3"/>
      <c r="D83" s="3"/>
      <c r="E83" s="3"/>
      <c r="F83" s="4"/>
      <c r="G83" s="2"/>
      <c r="H83" s="2"/>
      <c r="I83" s="2"/>
      <c r="J83" s="2"/>
      <c r="K83" s="133"/>
      <c r="L83" s="133"/>
      <c r="M83" s="133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">
      <c r="A84" s="1"/>
      <c r="B84" s="1"/>
      <c r="C84" s="3"/>
      <c r="D84" s="3"/>
      <c r="E84" s="3"/>
      <c r="F84" s="4"/>
      <c r="G84" s="2"/>
      <c r="H84" s="2"/>
      <c r="I84" s="2"/>
      <c r="J84" s="2"/>
      <c r="K84" s="133"/>
      <c r="L84" s="133"/>
      <c r="M84" s="133"/>
      <c r="N84" s="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">
      <c r="A85" s="1"/>
      <c r="B85" s="1"/>
      <c r="C85" s="3"/>
      <c r="D85" s="3"/>
      <c r="E85" s="3"/>
      <c r="F85" s="4"/>
      <c r="G85" s="2"/>
      <c r="H85" s="2"/>
      <c r="I85" s="2"/>
      <c r="J85" s="2"/>
      <c r="K85" s="133"/>
      <c r="L85" s="133"/>
      <c r="M85" s="133"/>
      <c r="N85" s="4"/>
      <c r="O85" s="4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">
      <c r="A86" s="1"/>
      <c r="B86" s="1"/>
      <c r="C86" s="3"/>
      <c r="D86" s="3"/>
      <c r="E86" s="3"/>
      <c r="F86" s="4"/>
      <c r="G86" s="2"/>
      <c r="H86" s="2"/>
      <c r="I86" s="2"/>
      <c r="J86" s="2"/>
      <c r="K86" s="133"/>
      <c r="L86" s="133"/>
      <c r="M86" s="133"/>
      <c r="N86" s="4"/>
      <c r="O86" s="4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">
      <c r="A87" s="1"/>
      <c r="B87" s="1"/>
      <c r="C87" s="3"/>
      <c r="D87" s="3"/>
      <c r="E87" s="3"/>
      <c r="F87" s="4"/>
      <c r="G87" s="2"/>
      <c r="H87" s="2"/>
      <c r="I87" s="2"/>
      <c r="J87" s="2"/>
      <c r="K87" s="133"/>
      <c r="L87" s="133"/>
      <c r="M87" s="133"/>
      <c r="N87" s="4"/>
      <c r="O87" s="4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">
      <c r="A88" s="1"/>
      <c r="B88" s="1"/>
      <c r="C88" s="3"/>
      <c r="D88" s="3"/>
      <c r="E88" s="3"/>
      <c r="F88" s="4"/>
      <c r="G88" s="2"/>
      <c r="H88" s="2"/>
      <c r="I88" s="2"/>
      <c r="J88" s="2"/>
      <c r="K88" s="133"/>
      <c r="L88" s="133"/>
      <c r="M88" s="133"/>
      <c r="N88" s="4"/>
      <c r="O88" s="4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">
      <c r="A89" s="1"/>
      <c r="B89" s="1"/>
      <c r="C89" s="3"/>
      <c r="D89" s="3"/>
      <c r="E89" s="3"/>
      <c r="F89" s="4"/>
      <c r="G89" s="2"/>
      <c r="H89" s="2"/>
      <c r="I89" s="2"/>
      <c r="J89" s="2"/>
      <c r="K89" s="133"/>
      <c r="L89" s="133"/>
      <c r="M89" s="133"/>
      <c r="N89" s="4"/>
      <c r="O89" s="4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">
      <c r="A90" s="1"/>
      <c r="B90" s="1"/>
      <c r="C90" s="3"/>
      <c r="D90" s="3"/>
      <c r="E90" s="3"/>
      <c r="F90" s="4"/>
      <c r="G90" s="2"/>
      <c r="H90" s="2"/>
      <c r="I90" s="2"/>
      <c r="J90" s="2"/>
      <c r="K90" s="133"/>
      <c r="L90" s="133"/>
      <c r="M90" s="133"/>
      <c r="N90" s="4"/>
      <c r="O90" s="4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">
      <c r="A91" s="1"/>
      <c r="B91" s="1"/>
      <c r="C91" s="3"/>
      <c r="D91" s="3"/>
      <c r="E91" s="3"/>
      <c r="F91" s="4"/>
      <c r="G91" s="2"/>
      <c r="H91" s="2"/>
      <c r="I91" s="2"/>
      <c r="J91" s="2"/>
      <c r="K91" s="133"/>
      <c r="L91" s="133"/>
      <c r="M91" s="133"/>
      <c r="N91" s="4"/>
      <c r="O91" s="4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">
      <c r="A92" s="1"/>
      <c r="B92" s="1"/>
      <c r="C92" s="3"/>
      <c r="D92" s="3"/>
      <c r="E92" s="3"/>
      <c r="F92" s="4"/>
      <c r="G92" s="2"/>
      <c r="H92" s="2"/>
      <c r="I92" s="2"/>
      <c r="J92" s="2"/>
      <c r="K92" s="133"/>
      <c r="L92" s="133"/>
      <c r="M92" s="133"/>
      <c r="N92" s="4"/>
      <c r="O92" s="4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">
      <c r="A93" s="1"/>
      <c r="B93" s="1"/>
      <c r="C93" s="3"/>
      <c r="D93" s="3"/>
      <c r="E93" s="3"/>
      <c r="F93" s="4"/>
      <c r="G93" s="2"/>
      <c r="H93" s="2"/>
      <c r="I93" s="2"/>
      <c r="J93" s="2"/>
      <c r="K93" s="133"/>
      <c r="L93" s="133"/>
      <c r="M93" s="133"/>
      <c r="N93" s="4"/>
      <c r="O93" s="4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">
      <c r="A94" s="1"/>
      <c r="B94" s="1"/>
      <c r="C94" s="3"/>
      <c r="D94" s="3"/>
      <c r="E94" s="3"/>
      <c r="F94" s="4"/>
      <c r="G94" s="2"/>
      <c r="H94" s="2"/>
      <c r="I94" s="2"/>
      <c r="J94" s="2"/>
      <c r="K94" s="133"/>
      <c r="L94" s="133"/>
      <c r="M94" s="133"/>
      <c r="N94" s="4"/>
      <c r="O94" s="4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">
      <c r="A95" s="1"/>
      <c r="B95" s="1"/>
      <c r="C95" s="3"/>
      <c r="D95" s="3"/>
      <c r="E95" s="3"/>
      <c r="F95" s="4"/>
      <c r="G95" s="2"/>
      <c r="H95" s="2"/>
      <c r="I95" s="2"/>
      <c r="J95" s="2"/>
      <c r="K95" s="133"/>
      <c r="L95" s="133"/>
      <c r="M95" s="133"/>
      <c r="N95" s="4"/>
      <c r="O95" s="4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">
      <c r="A96" s="1"/>
      <c r="B96" s="1"/>
      <c r="C96" s="3"/>
      <c r="D96" s="3"/>
      <c r="E96" s="3"/>
      <c r="F96" s="4"/>
      <c r="G96" s="2"/>
      <c r="H96" s="2"/>
      <c r="I96" s="2"/>
      <c r="J96" s="2"/>
      <c r="K96" s="133"/>
      <c r="L96" s="133"/>
      <c r="M96" s="133"/>
      <c r="N96" s="4"/>
      <c r="O96" s="4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">
      <c r="A97" s="1"/>
      <c r="B97" s="1"/>
      <c r="C97" s="3"/>
      <c r="D97" s="3"/>
      <c r="E97" s="3"/>
      <c r="F97" s="4"/>
      <c r="G97" s="2"/>
      <c r="H97" s="2"/>
      <c r="I97" s="2"/>
      <c r="J97" s="2"/>
      <c r="K97" s="133"/>
      <c r="L97" s="133"/>
      <c r="M97" s="133"/>
      <c r="N97" s="4"/>
      <c r="O97" s="4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">
      <c r="A98" s="1"/>
      <c r="B98" s="1"/>
      <c r="C98" s="3"/>
      <c r="D98" s="3"/>
      <c r="E98" s="3"/>
      <c r="F98" s="4"/>
      <c r="G98" s="2"/>
      <c r="H98" s="2"/>
      <c r="I98" s="2"/>
      <c r="J98" s="2"/>
      <c r="K98" s="133"/>
      <c r="L98" s="133"/>
      <c r="M98" s="133"/>
      <c r="N98" s="4"/>
      <c r="O98" s="4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">
      <c r="A99" s="1"/>
      <c r="B99" s="1"/>
      <c r="C99" s="3"/>
      <c r="D99" s="3"/>
      <c r="E99" s="3"/>
      <c r="F99" s="4"/>
      <c r="G99" s="2"/>
      <c r="H99" s="2"/>
      <c r="I99" s="2"/>
      <c r="J99" s="2"/>
      <c r="K99" s="133"/>
      <c r="L99" s="133"/>
      <c r="M99" s="133"/>
      <c r="N99" s="4"/>
      <c r="O99" s="4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">
      <c r="A100" s="1"/>
      <c r="B100" s="1"/>
      <c r="C100" s="3"/>
      <c r="D100" s="3"/>
      <c r="E100" s="3"/>
      <c r="F100" s="4"/>
      <c r="G100" s="2"/>
      <c r="H100" s="2"/>
      <c r="I100" s="2"/>
      <c r="J100" s="2"/>
      <c r="K100" s="133"/>
      <c r="L100" s="133"/>
      <c r="M100" s="133"/>
      <c r="N100" s="4"/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">
      <c r="A101" s="1"/>
      <c r="B101" s="1"/>
      <c r="C101" s="3"/>
      <c r="D101" s="3"/>
      <c r="E101" s="3"/>
      <c r="F101" s="4"/>
      <c r="G101" s="2"/>
      <c r="H101" s="2"/>
      <c r="I101" s="2"/>
      <c r="J101" s="2"/>
      <c r="K101" s="133"/>
      <c r="L101" s="133"/>
      <c r="M101" s="133"/>
      <c r="N101" s="4"/>
      <c r="O101" s="4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">
      <c r="A102" s="1"/>
      <c r="B102" s="1"/>
      <c r="C102" s="3"/>
      <c r="D102" s="3"/>
      <c r="E102" s="3"/>
      <c r="F102" s="4"/>
      <c r="G102" s="2"/>
      <c r="H102" s="2"/>
      <c r="I102" s="2"/>
      <c r="J102" s="2"/>
      <c r="K102" s="133"/>
      <c r="L102" s="133"/>
      <c r="M102" s="133"/>
      <c r="N102" s="4"/>
      <c r="O102" s="4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">
      <c r="A103" s="1"/>
      <c r="B103" s="1"/>
      <c r="C103" s="3"/>
      <c r="D103" s="3"/>
      <c r="E103" s="3"/>
      <c r="F103" s="4"/>
      <c r="G103" s="2"/>
      <c r="H103" s="2"/>
      <c r="I103" s="2"/>
      <c r="J103" s="2"/>
      <c r="K103" s="133"/>
      <c r="L103" s="133"/>
      <c r="M103" s="133"/>
      <c r="N103" s="4"/>
      <c r="O103" s="4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">
      <c r="A104" s="1"/>
      <c r="B104" s="1"/>
      <c r="C104" s="3"/>
      <c r="D104" s="3"/>
      <c r="E104" s="3"/>
      <c r="F104" s="4"/>
      <c r="G104" s="2"/>
      <c r="H104" s="2"/>
      <c r="I104" s="2"/>
      <c r="J104" s="2"/>
      <c r="K104" s="133"/>
      <c r="L104" s="133"/>
      <c r="M104" s="133"/>
      <c r="N104" s="4"/>
      <c r="O104" s="4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">
      <c r="A105" s="1"/>
      <c r="B105" s="1"/>
      <c r="C105" s="3"/>
      <c r="D105" s="3"/>
      <c r="E105" s="3"/>
      <c r="F105" s="4"/>
      <c r="G105" s="2"/>
      <c r="H105" s="2"/>
      <c r="I105" s="2"/>
      <c r="J105" s="2"/>
      <c r="K105" s="133"/>
      <c r="L105" s="133"/>
      <c r="M105" s="133"/>
      <c r="N105" s="4"/>
      <c r="O105" s="4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">
      <c r="A106" s="1"/>
      <c r="B106" s="1"/>
      <c r="C106" s="3"/>
      <c r="D106" s="3"/>
      <c r="E106" s="3"/>
      <c r="F106" s="4"/>
      <c r="G106" s="2"/>
      <c r="H106" s="2"/>
      <c r="I106" s="2"/>
      <c r="J106" s="2"/>
      <c r="K106" s="133"/>
      <c r="L106" s="133"/>
      <c r="M106" s="133"/>
      <c r="N106" s="4"/>
      <c r="O106" s="4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">
      <c r="A107" s="1"/>
      <c r="B107" s="1"/>
      <c r="C107" s="3"/>
      <c r="D107" s="3"/>
      <c r="E107" s="3"/>
      <c r="F107" s="4"/>
      <c r="G107" s="2"/>
      <c r="H107" s="2"/>
      <c r="I107" s="2"/>
      <c r="J107" s="2"/>
      <c r="K107" s="133"/>
      <c r="L107" s="133"/>
      <c r="M107" s="133"/>
      <c r="N107" s="4"/>
      <c r="O107" s="4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">
      <c r="A108" s="1"/>
      <c r="B108" s="1"/>
      <c r="C108" s="3"/>
      <c r="D108" s="3"/>
      <c r="E108" s="3"/>
      <c r="F108" s="4"/>
      <c r="G108" s="2"/>
      <c r="H108" s="2"/>
      <c r="I108" s="2"/>
      <c r="J108" s="2"/>
      <c r="K108" s="133"/>
      <c r="L108" s="133"/>
      <c r="M108" s="133"/>
      <c r="N108" s="4"/>
      <c r="O108" s="4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">
      <c r="A109" s="1"/>
      <c r="B109" s="1"/>
      <c r="C109" s="3"/>
      <c r="D109" s="3"/>
      <c r="E109" s="3"/>
      <c r="F109" s="4"/>
      <c r="G109" s="2"/>
      <c r="H109" s="2"/>
      <c r="I109" s="2"/>
      <c r="J109" s="2"/>
      <c r="K109" s="133"/>
      <c r="L109" s="133"/>
      <c r="M109" s="133"/>
      <c r="N109" s="4"/>
      <c r="O109" s="4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">
      <c r="A110" s="1"/>
      <c r="B110" s="1"/>
      <c r="C110" s="3"/>
      <c r="D110" s="3"/>
      <c r="E110" s="3"/>
      <c r="F110" s="4"/>
      <c r="G110" s="2"/>
      <c r="H110" s="2"/>
      <c r="I110" s="2"/>
      <c r="J110" s="2"/>
      <c r="K110" s="133"/>
      <c r="L110" s="133"/>
      <c r="M110" s="133"/>
      <c r="N110" s="4"/>
      <c r="O110" s="4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">
      <c r="A111" s="1"/>
      <c r="B111" s="1"/>
      <c r="C111" s="3"/>
      <c r="D111" s="3"/>
      <c r="E111" s="3"/>
      <c r="F111" s="4"/>
      <c r="G111" s="2"/>
      <c r="H111" s="2"/>
      <c r="I111" s="2"/>
      <c r="J111" s="2"/>
      <c r="K111" s="133"/>
      <c r="L111" s="133"/>
      <c r="M111" s="133"/>
      <c r="N111" s="4"/>
      <c r="O111" s="4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">
      <c r="A112" s="1"/>
      <c r="B112" s="1"/>
      <c r="C112" s="3"/>
      <c r="D112" s="3"/>
      <c r="E112" s="3"/>
      <c r="F112" s="4"/>
      <c r="G112" s="2"/>
      <c r="H112" s="2"/>
      <c r="I112" s="2"/>
      <c r="J112" s="2"/>
      <c r="K112" s="133"/>
      <c r="L112" s="133"/>
      <c r="M112" s="133"/>
      <c r="N112" s="4"/>
      <c r="O112" s="4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">
      <c r="A113" s="1"/>
      <c r="B113" s="1"/>
      <c r="C113" s="3"/>
      <c r="D113" s="3"/>
      <c r="E113" s="3"/>
      <c r="F113" s="4"/>
      <c r="G113" s="2"/>
      <c r="H113" s="2"/>
      <c r="I113" s="2"/>
      <c r="J113" s="2"/>
      <c r="K113" s="133"/>
      <c r="L113" s="133"/>
      <c r="M113" s="133"/>
      <c r="N113" s="4"/>
      <c r="O113" s="4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">
      <c r="A114" s="1"/>
      <c r="B114" s="1"/>
      <c r="C114" s="3"/>
      <c r="D114" s="3"/>
      <c r="E114" s="3"/>
      <c r="F114" s="4"/>
      <c r="G114" s="2"/>
      <c r="H114" s="2"/>
      <c r="I114" s="2"/>
      <c r="J114" s="2"/>
      <c r="K114" s="133"/>
      <c r="L114" s="133"/>
      <c r="M114" s="133"/>
      <c r="N114" s="4"/>
      <c r="O114" s="4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">
      <c r="A115" s="1"/>
      <c r="B115" s="1"/>
      <c r="C115" s="3"/>
      <c r="D115" s="3"/>
      <c r="E115" s="3"/>
      <c r="F115" s="4"/>
      <c r="G115" s="2"/>
      <c r="H115" s="2"/>
      <c r="I115" s="2"/>
      <c r="J115" s="2"/>
      <c r="K115" s="133"/>
      <c r="L115" s="133"/>
      <c r="M115" s="133"/>
      <c r="N115" s="4"/>
      <c r="O115" s="4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">
      <c r="A116" s="1"/>
      <c r="B116" s="1"/>
      <c r="C116" s="3"/>
      <c r="D116" s="3"/>
      <c r="E116" s="3"/>
      <c r="F116" s="4"/>
      <c r="G116" s="2"/>
      <c r="H116" s="2"/>
      <c r="I116" s="2"/>
      <c r="J116" s="2"/>
      <c r="K116" s="133"/>
      <c r="L116" s="133"/>
      <c r="M116" s="133"/>
      <c r="N116" s="4"/>
      <c r="O116" s="4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">
      <c r="A117" s="1"/>
      <c r="B117" s="1"/>
      <c r="C117" s="3"/>
      <c r="D117" s="3"/>
      <c r="E117" s="3"/>
      <c r="F117" s="4"/>
      <c r="G117" s="2"/>
      <c r="H117" s="2"/>
      <c r="I117" s="2"/>
      <c r="J117" s="2"/>
      <c r="K117" s="133"/>
      <c r="L117" s="133"/>
      <c r="M117" s="133"/>
      <c r="N117" s="4"/>
      <c r="O117" s="4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">
      <c r="A118" s="1"/>
      <c r="B118" s="1"/>
      <c r="C118" s="3"/>
      <c r="D118" s="3"/>
      <c r="E118" s="3"/>
      <c r="F118" s="4"/>
      <c r="G118" s="2"/>
      <c r="H118" s="2"/>
      <c r="I118" s="2"/>
      <c r="J118" s="2"/>
      <c r="K118" s="133"/>
      <c r="L118" s="133"/>
      <c r="M118" s="133"/>
      <c r="N118" s="4"/>
      <c r="O118" s="4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">
      <c r="A119" s="1"/>
      <c r="B119" s="1"/>
      <c r="C119" s="3"/>
      <c r="D119" s="3"/>
      <c r="E119" s="3"/>
      <c r="F119" s="4"/>
      <c r="G119" s="2"/>
      <c r="H119" s="2"/>
      <c r="I119" s="2"/>
      <c r="J119" s="2"/>
      <c r="K119" s="133"/>
      <c r="L119" s="133"/>
      <c r="M119" s="133"/>
      <c r="N119" s="4"/>
      <c r="O119" s="4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">
      <c r="A120" s="1"/>
      <c r="B120" s="1"/>
      <c r="C120" s="3"/>
      <c r="D120" s="3"/>
      <c r="E120" s="3"/>
      <c r="F120" s="4"/>
      <c r="G120" s="2"/>
      <c r="H120" s="2"/>
      <c r="I120" s="2"/>
      <c r="J120" s="2"/>
      <c r="K120" s="133"/>
      <c r="L120" s="133"/>
      <c r="M120" s="133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">
      <c r="A121" s="1"/>
      <c r="B121" s="1"/>
      <c r="C121" s="3"/>
      <c r="D121" s="3"/>
      <c r="E121" s="3"/>
      <c r="F121" s="4"/>
      <c r="G121" s="2"/>
      <c r="H121" s="2"/>
      <c r="I121" s="2"/>
      <c r="J121" s="2"/>
      <c r="K121" s="133"/>
      <c r="L121" s="133"/>
      <c r="M121" s="133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">
      <c r="A122" s="1"/>
      <c r="B122" s="1"/>
      <c r="C122" s="3"/>
      <c r="D122" s="3"/>
      <c r="E122" s="3"/>
      <c r="F122" s="4"/>
      <c r="G122" s="2"/>
      <c r="H122" s="2"/>
      <c r="I122" s="2"/>
      <c r="J122" s="2"/>
      <c r="K122" s="133"/>
      <c r="L122" s="133"/>
      <c r="M122" s="133"/>
      <c r="N122" s="4"/>
      <c r="O122" s="4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">
      <c r="A123" s="1"/>
      <c r="B123" s="1"/>
      <c r="C123" s="3"/>
      <c r="D123" s="3"/>
      <c r="E123" s="3"/>
      <c r="F123" s="4"/>
      <c r="G123" s="2"/>
      <c r="H123" s="2"/>
      <c r="I123" s="2"/>
      <c r="J123" s="2"/>
      <c r="K123" s="133"/>
      <c r="L123" s="133"/>
      <c r="M123" s="133"/>
      <c r="N123" s="4"/>
      <c r="O123" s="4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">
      <c r="A124" s="1"/>
      <c r="B124" s="1"/>
      <c r="C124" s="3"/>
      <c r="D124" s="3"/>
      <c r="E124" s="3"/>
      <c r="F124" s="4"/>
      <c r="G124" s="2"/>
      <c r="H124" s="2"/>
      <c r="I124" s="2"/>
      <c r="J124" s="2"/>
      <c r="K124" s="133"/>
      <c r="L124" s="133"/>
      <c r="M124" s="133"/>
      <c r="N124" s="4"/>
      <c r="O124" s="4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">
      <c r="A125" s="1"/>
      <c r="B125" s="1"/>
      <c r="C125" s="3"/>
      <c r="D125" s="3"/>
      <c r="E125" s="3"/>
      <c r="F125" s="4"/>
      <c r="G125" s="2"/>
      <c r="H125" s="2"/>
      <c r="I125" s="2"/>
      <c r="J125" s="2"/>
      <c r="K125" s="133"/>
      <c r="L125" s="133"/>
      <c r="M125" s="133"/>
      <c r="N125" s="4"/>
      <c r="O125" s="4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">
      <c r="A126" s="1"/>
      <c r="B126" s="1"/>
      <c r="C126" s="3"/>
      <c r="D126" s="3"/>
      <c r="E126" s="3"/>
      <c r="F126" s="4"/>
      <c r="G126" s="2"/>
      <c r="H126" s="2"/>
      <c r="I126" s="2"/>
      <c r="J126" s="2"/>
      <c r="K126" s="133"/>
      <c r="L126" s="133"/>
      <c r="M126" s="133"/>
      <c r="N126" s="4"/>
      <c r="O126" s="4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">
      <c r="A127" s="1"/>
      <c r="B127" s="1"/>
      <c r="C127" s="3"/>
      <c r="D127" s="3"/>
      <c r="E127" s="3"/>
      <c r="F127" s="4"/>
      <c r="G127" s="2"/>
      <c r="H127" s="2"/>
      <c r="I127" s="2"/>
      <c r="J127" s="2"/>
      <c r="K127" s="133"/>
      <c r="L127" s="133"/>
      <c r="M127" s="133"/>
      <c r="N127" s="4"/>
      <c r="O127" s="4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">
      <c r="A128" s="1"/>
      <c r="B128" s="1"/>
      <c r="C128" s="3"/>
      <c r="D128" s="3"/>
      <c r="E128" s="3"/>
      <c r="F128" s="4"/>
      <c r="G128" s="2"/>
      <c r="H128" s="2"/>
      <c r="I128" s="2"/>
      <c r="J128" s="2"/>
      <c r="K128" s="133"/>
      <c r="L128" s="133"/>
      <c r="M128" s="133"/>
      <c r="N128" s="4"/>
      <c r="O128" s="4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">
      <c r="A129" s="1"/>
      <c r="B129" s="1"/>
      <c r="C129" s="3"/>
      <c r="D129" s="3"/>
      <c r="E129" s="3"/>
      <c r="F129" s="4"/>
      <c r="G129" s="2"/>
      <c r="H129" s="2"/>
      <c r="I129" s="2"/>
      <c r="J129" s="2"/>
      <c r="K129" s="133"/>
      <c r="L129" s="133"/>
      <c r="M129" s="133"/>
      <c r="N129" s="4"/>
      <c r="O129" s="4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">
      <c r="A130" s="1"/>
      <c r="B130" s="1"/>
      <c r="C130" s="3"/>
      <c r="D130" s="3"/>
      <c r="E130" s="3"/>
      <c r="F130" s="4"/>
      <c r="G130" s="2"/>
      <c r="H130" s="2"/>
      <c r="I130" s="2"/>
      <c r="J130" s="2"/>
      <c r="K130" s="133"/>
      <c r="L130" s="133"/>
      <c r="M130" s="133"/>
      <c r="N130" s="4"/>
      <c r="O130" s="4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">
      <c r="A131" s="1"/>
      <c r="B131" s="1"/>
      <c r="C131" s="3"/>
      <c r="D131" s="3"/>
      <c r="E131" s="3"/>
      <c r="F131" s="4"/>
      <c r="G131" s="2"/>
      <c r="H131" s="2"/>
      <c r="I131" s="2"/>
      <c r="J131" s="2"/>
      <c r="K131" s="133"/>
      <c r="L131" s="133"/>
      <c r="M131" s="133"/>
      <c r="N131" s="4"/>
      <c r="O131" s="4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">
      <c r="A132" s="1"/>
      <c r="B132" s="1"/>
      <c r="C132" s="3"/>
      <c r="D132" s="3"/>
      <c r="E132" s="3"/>
      <c r="F132" s="4"/>
      <c r="G132" s="2"/>
      <c r="H132" s="2"/>
      <c r="I132" s="2"/>
      <c r="J132" s="2"/>
      <c r="K132" s="133"/>
      <c r="L132" s="133"/>
      <c r="M132" s="133"/>
      <c r="N132" s="4"/>
      <c r="O132" s="4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">
      <c r="A133" s="1"/>
      <c r="B133" s="1"/>
      <c r="C133" s="3"/>
      <c r="D133" s="3"/>
      <c r="E133" s="3"/>
      <c r="F133" s="4"/>
      <c r="G133" s="2"/>
      <c r="H133" s="2"/>
      <c r="I133" s="2"/>
      <c r="J133" s="2"/>
      <c r="K133" s="133"/>
      <c r="L133" s="133"/>
      <c r="M133" s="133"/>
      <c r="N133" s="4"/>
      <c r="O133" s="4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">
      <c r="A134" s="1"/>
      <c r="B134" s="1"/>
      <c r="C134" s="3"/>
      <c r="D134" s="3"/>
      <c r="E134" s="3"/>
      <c r="F134" s="4"/>
      <c r="G134" s="2"/>
      <c r="H134" s="2"/>
      <c r="I134" s="2"/>
      <c r="J134" s="2"/>
      <c r="K134" s="133"/>
      <c r="L134" s="133"/>
      <c r="M134" s="133"/>
      <c r="N134" s="4"/>
      <c r="O134" s="4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">
      <c r="A135" s="1"/>
      <c r="B135" s="1"/>
      <c r="C135" s="3"/>
      <c r="D135" s="3"/>
      <c r="E135" s="3"/>
      <c r="F135" s="4"/>
      <c r="G135" s="2"/>
      <c r="H135" s="2"/>
      <c r="I135" s="2"/>
      <c r="J135" s="2"/>
      <c r="K135" s="133"/>
      <c r="L135" s="133"/>
      <c r="M135" s="133"/>
      <c r="N135" s="4"/>
      <c r="O135" s="4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">
      <c r="A136" s="1"/>
      <c r="B136" s="1"/>
      <c r="C136" s="3"/>
      <c r="D136" s="3"/>
      <c r="E136" s="3"/>
      <c r="F136" s="4"/>
      <c r="G136" s="2"/>
      <c r="H136" s="2"/>
      <c r="I136" s="2"/>
      <c r="J136" s="2"/>
      <c r="K136" s="133"/>
      <c r="L136" s="133"/>
      <c r="M136" s="133"/>
      <c r="N136" s="4"/>
      <c r="O136" s="4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">
      <c r="A137" s="1"/>
      <c r="B137" s="1"/>
      <c r="C137" s="3"/>
      <c r="D137" s="3"/>
      <c r="E137" s="3"/>
      <c r="F137" s="4"/>
      <c r="G137" s="2"/>
      <c r="H137" s="2"/>
      <c r="I137" s="2"/>
      <c r="J137" s="2"/>
      <c r="K137" s="133"/>
      <c r="L137" s="133"/>
      <c r="M137" s="133"/>
      <c r="N137" s="4"/>
      <c r="O137" s="4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">
      <c r="A138" s="1"/>
      <c r="B138" s="1"/>
      <c r="C138" s="3"/>
      <c r="D138" s="3"/>
      <c r="E138" s="3"/>
      <c r="F138" s="4"/>
      <c r="G138" s="2"/>
      <c r="H138" s="2"/>
      <c r="I138" s="2"/>
      <c r="J138" s="2"/>
      <c r="K138" s="133"/>
      <c r="L138" s="133"/>
      <c r="M138" s="133"/>
      <c r="N138" s="4"/>
      <c r="O138" s="4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">
      <c r="A139" s="1"/>
      <c r="B139" s="1"/>
      <c r="C139" s="3"/>
      <c r="D139" s="3"/>
      <c r="E139" s="3"/>
      <c r="F139" s="4"/>
      <c r="G139" s="2"/>
      <c r="H139" s="2"/>
      <c r="I139" s="2"/>
      <c r="J139" s="2"/>
      <c r="K139" s="133"/>
      <c r="L139" s="133"/>
      <c r="M139" s="133"/>
      <c r="N139" s="4"/>
      <c r="O139" s="4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">
      <c r="A140" s="1"/>
      <c r="B140" s="1"/>
      <c r="C140" s="3"/>
      <c r="D140" s="3"/>
      <c r="E140" s="3"/>
      <c r="F140" s="4"/>
      <c r="G140" s="2"/>
      <c r="H140" s="2"/>
      <c r="I140" s="2"/>
      <c r="J140" s="2"/>
      <c r="K140" s="133"/>
      <c r="L140" s="133"/>
      <c r="M140" s="133"/>
      <c r="N140" s="4"/>
      <c r="O140" s="4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">
      <c r="A141" s="1"/>
      <c r="B141" s="1"/>
      <c r="C141" s="3"/>
      <c r="D141" s="3"/>
      <c r="E141" s="3"/>
      <c r="F141" s="4"/>
      <c r="G141" s="2"/>
      <c r="H141" s="2"/>
      <c r="I141" s="2"/>
      <c r="J141" s="2"/>
      <c r="K141" s="133"/>
      <c r="L141" s="133"/>
      <c r="M141" s="133"/>
      <c r="N141" s="4"/>
      <c r="O141" s="4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">
      <c r="A142" s="1"/>
      <c r="B142" s="1"/>
      <c r="C142" s="3"/>
      <c r="D142" s="3"/>
      <c r="E142" s="3"/>
      <c r="F142" s="4"/>
      <c r="G142" s="2"/>
      <c r="H142" s="2"/>
      <c r="I142" s="2"/>
      <c r="J142" s="2"/>
      <c r="K142" s="133"/>
      <c r="L142" s="133"/>
      <c r="M142" s="133"/>
      <c r="N142" s="4"/>
      <c r="O142" s="4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">
      <c r="A143" s="1"/>
      <c r="B143" s="1"/>
      <c r="C143" s="3"/>
      <c r="D143" s="3"/>
      <c r="E143" s="3"/>
      <c r="F143" s="4"/>
      <c r="G143" s="2"/>
      <c r="H143" s="2"/>
      <c r="I143" s="2"/>
      <c r="J143" s="2"/>
      <c r="K143" s="133"/>
      <c r="L143" s="133"/>
      <c r="M143" s="133"/>
      <c r="N143" s="4"/>
      <c r="O143" s="4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">
      <c r="A144" s="1"/>
      <c r="B144" s="1"/>
      <c r="C144" s="3"/>
      <c r="D144" s="3"/>
      <c r="E144" s="3"/>
      <c r="F144" s="4"/>
      <c r="G144" s="2"/>
      <c r="H144" s="2"/>
      <c r="I144" s="2"/>
      <c r="J144" s="2"/>
      <c r="K144" s="133"/>
      <c r="L144" s="133"/>
      <c r="M144" s="133"/>
      <c r="N144" s="4"/>
      <c r="O144" s="4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">
      <c r="A145" s="1"/>
      <c r="B145" s="1"/>
      <c r="C145" s="3"/>
      <c r="D145" s="3"/>
      <c r="E145" s="3"/>
      <c r="F145" s="4"/>
      <c r="G145" s="2"/>
      <c r="H145" s="2"/>
      <c r="I145" s="2"/>
      <c r="J145" s="2"/>
      <c r="K145" s="133"/>
      <c r="L145" s="133"/>
      <c r="M145" s="133"/>
      <c r="N145" s="4"/>
      <c r="O145" s="4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">
      <c r="A146" s="1"/>
      <c r="B146" s="1"/>
      <c r="C146" s="3"/>
      <c r="D146" s="3"/>
      <c r="E146" s="3"/>
      <c r="F146" s="4"/>
      <c r="G146" s="2"/>
      <c r="H146" s="2"/>
      <c r="I146" s="2"/>
      <c r="J146" s="2"/>
      <c r="K146" s="133"/>
      <c r="L146" s="133"/>
      <c r="M146" s="133"/>
      <c r="N146" s="4"/>
      <c r="O146" s="4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">
      <c r="A147" s="1"/>
      <c r="B147" s="1"/>
      <c r="C147" s="3"/>
      <c r="D147" s="3"/>
      <c r="E147" s="3"/>
      <c r="F147" s="4"/>
      <c r="G147" s="2"/>
      <c r="H147" s="2"/>
      <c r="I147" s="2"/>
      <c r="J147" s="2"/>
      <c r="K147" s="133"/>
      <c r="L147" s="133"/>
      <c r="M147" s="133"/>
      <c r="N147" s="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">
      <c r="A148" s="1"/>
      <c r="B148" s="1"/>
      <c r="C148" s="3"/>
      <c r="D148" s="3"/>
      <c r="E148" s="3"/>
      <c r="F148" s="4"/>
      <c r="G148" s="2"/>
      <c r="H148" s="2"/>
      <c r="I148" s="2"/>
      <c r="J148" s="2"/>
      <c r="K148" s="133"/>
      <c r="L148" s="133"/>
      <c r="M148" s="133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">
      <c r="A149" s="1"/>
      <c r="B149" s="1"/>
      <c r="C149" s="3"/>
      <c r="D149" s="3"/>
      <c r="E149" s="3"/>
      <c r="F149" s="4"/>
      <c r="G149" s="2"/>
      <c r="H149" s="2"/>
      <c r="I149" s="2"/>
      <c r="J149" s="2"/>
      <c r="K149" s="133"/>
      <c r="L149" s="133"/>
      <c r="M149" s="133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">
      <c r="A150" s="1"/>
      <c r="B150" s="1"/>
      <c r="C150" s="3"/>
      <c r="D150" s="3"/>
      <c r="E150" s="3"/>
      <c r="F150" s="4"/>
      <c r="G150" s="2"/>
      <c r="H150" s="2"/>
      <c r="I150" s="2"/>
      <c r="J150" s="2"/>
      <c r="K150" s="133"/>
      <c r="L150" s="133"/>
      <c r="M150" s="133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">
      <c r="A151" s="1"/>
      <c r="B151" s="1"/>
      <c r="C151" s="3"/>
      <c r="D151" s="3"/>
      <c r="E151" s="3"/>
      <c r="F151" s="4"/>
      <c r="G151" s="2"/>
      <c r="H151" s="2"/>
      <c r="I151" s="2"/>
      <c r="J151" s="2"/>
      <c r="K151" s="133"/>
      <c r="L151" s="133"/>
      <c r="M151" s="133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">
      <c r="A152" s="1"/>
      <c r="B152" s="1"/>
      <c r="C152" s="3"/>
      <c r="D152" s="3"/>
      <c r="E152" s="3"/>
      <c r="F152" s="4"/>
      <c r="G152" s="2"/>
      <c r="H152" s="2"/>
      <c r="I152" s="2"/>
      <c r="J152" s="2"/>
      <c r="K152" s="133"/>
      <c r="L152" s="133"/>
      <c r="M152" s="133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">
      <c r="A153" s="1"/>
      <c r="B153" s="1"/>
      <c r="C153" s="3"/>
      <c r="D153" s="3"/>
      <c r="E153" s="3"/>
      <c r="F153" s="4"/>
      <c r="G153" s="2"/>
      <c r="H153" s="2"/>
      <c r="I153" s="2"/>
      <c r="J153" s="2"/>
      <c r="K153" s="133"/>
      <c r="L153" s="133"/>
      <c r="M153" s="133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">
      <c r="A154" s="1"/>
      <c r="B154" s="1"/>
      <c r="C154" s="3"/>
      <c r="D154" s="3"/>
      <c r="E154" s="3"/>
      <c r="F154" s="4"/>
      <c r="G154" s="2"/>
      <c r="H154" s="2"/>
      <c r="I154" s="2"/>
      <c r="J154" s="2"/>
      <c r="K154" s="133"/>
      <c r="L154" s="133"/>
      <c r="M154" s="133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">
      <c r="A155" s="1"/>
      <c r="B155" s="1"/>
      <c r="C155" s="3"/>
      <c r="D155" s="3"/>
      <c r="E155" s="3"/>
      <c r="F155" s="4"/>
      <c r="G155" s="2"/>
      <c r="H155" s="2"/>
      <c r="I155" s="2"/>
      <c r="J155" s="2"/>
      <c r="K155" s="133"/>
      <c r="L155" s="133"/>
      <c r="M155" s="133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">
      <c r="A156" s="1"/>
      <c r="B156" s="1"/>
      <c r="C156" s="3"/>
      <c r="D156" s="3"/>
      <c r="E156" s="3"/>
      <c r="F156" s="4"/>
      <c r="G156" s="2"/>
      <c r="H156" s="2"/>
      <c r="I156" s="2"/>
      <c r="J156" s="2"/>
      <c r="K156" s="133"/>
      <c r="L156" s="133"/>
      <c r="M156" s="133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">
      <c r="A157" s="1"/>
      <c r="B157" s="1"/>
      <c r="C157" s="3"/>
      <c r="D157" s="3"/>
      <c r="E157" s="3"/>
      <c r="F157" s="4"/>
      <c r="G157" s="2"/>
      <c r="H157" s="2"/>
      <c r="I157" s="2"/>
      <c r="J157" s="2"/>
      <c r="K157" s="133"/>
      <c r="L157" s="133"/>
      <c r="M157" s="133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">
      <c r="A158" s="1"/>
      <c r="B158" s="1"/>
      <c r="C158" s="3"/>
      <c r="D158" s="3"/>
      <c r="E158" s="3"/>
      <c r="F158" s="4"/>
      <c r="G158" s="2"/>
      <c r="H158" s="2"/>
      <c r="I158" s="2"/>
      <c r="J158" s="2"/>
      <c r="K158" s="133"/>
      <c r="L158" s="133"/>
      <c r="M158" s="133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">
      <c r="A159" s="1"/>
      <c r="B159" s="1"/>
      <c r="C159" s="3"/>
      <c r="D159" s="3"/>
      <c r="E159" s="3"/>
      <c r="F159" s="4"/>
      <c r="G159" s="2"/>
      <c r="H159" s="2"/>
      <c r="I159" s="2"/>
      <c r="J159" s="2"/>
      <c r="K159" s="133"/>
      <c r="L159" s="133"/>
      <c r="M159" s="133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">
      <c r="A160" s="1"/>
      <c r="B160" s="1"/>
      <c r="C160" s="3"/>
      <c r="D160" s="3"/>
      <c r="E160" s="3"/>
      <c r="F160" s="4"/>
      <c r="G160" s="2"/>
      <c r="H160" s="2"/>
      <c r="I160" s="2"/>
      <c r="J160" s="2"/>
      <c r="K160" s="133"/>
      <c r="L160" s="133"/>
      <c r="M160" s="133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">
      <c r="A161" s="1"/>
      <c r="B161" s="1"/>
      <c r="C161" s="3"/>
      <c r="D161" s="3"/>
      <c r="E161" s="3"/>
      <c r="F161" s="4"/>
      <c r="G161" s="2"/>
      <c r="H161" s="2"/>
      <c r="I161" s="2"/>
      <c r="J161" s="2"/>
      <c r="K161" s="133"/>
      <c r="L161" s="133"/>
      <c r="M161" s="133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">
      <c r="A162" s="1"/>
      <c r="B162" s="1"/>
      <c r="C162" s="3"/>
      <c r="D162" s="3"/>
      <c r="E162" s="3"/>
      <c r="F162" s="4"/>
      <c r="G162" s="2"/>
      <c r="H162" s="2"/>
      <c r="I162" s="2"/>
      <c r="J162" s="2"/>
      <c r="K162" s="133"/>
      <c r="L162" s="133"/>
      <c r="M162" s="133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">
      <c r="A163" s="1"/>
      <c r="B163" s="1"/>
      <c r="C163" s="3"/>
      <c r="D163" s="3"/>
      <c r="E163" s="3"/>
      <c r="F163" s="4"/>
      <c r="G163" s="2"/>
      <c r="H163" s="2"/>
      <c r="I163" s="2"/>
      <c r="J163" s="2"/>
      <c r="K163" s="133"/>
      <c r="L163" s="133"/>
      <c r="M163" s="133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">
      <c r="A164" s="1"/>
      <c r="B164" s="1"/>
      <c r="C164" s="3"/>
      <c r="D164" s="3"/>
      <c r="E164" s="3"/>
      <c r="F164" s="4"/>
      <c r="G164" s="2"/>
      <c r="H164" s="2"/>
      <c r="I164" s="2"/>
      <c r="J164" s="2"/>
      <c r="K164" s="133"/>
      <c r="L164" s="133"/>
      <c r="M164" s="133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">
      <c r="A165" s="1"/>
      <c r="B165" s="1"/>
      <c r="C165" s="3"/>
      <c r="D165" s="3"/>
      <c r="E165" s="3"/>
      <c r="F165" s="4"/>
      <c r="G165" s="2"/>
      <c r="H165" s="2"/>
      <c r="I165" s="2"/>
      <c r="J165" s="2"/>
      <c r="K165" s="133"/>
      <c r="L165" s="133"/>
      <c r="M165" s="133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">
      <c r="A166" s="1"/>
      <c r="B166" s="1"/>
      <c r="C166" s="3"/>
      <c r="D166" s="3"/>
      <c r="E166" s="3"/>
      <c r="F166" s="4"/>
      <c r="G166" s="2"/>
      <c r="H166" s="2"/>
      <c r="I166" s="2"/>
      <c r="J166" s="2"/>
      <c r="K166" s="133"/>
      <c r="L166" s="133"/>
      <c r="M166" s="133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">
      <c r="A167" s="1"/>
      <c r="B167" s="1"/>
      <c r="C167" s="3"/>
      <c r="D167" s="3"/>
      <c r="E167" s="3"/>
      <c r="F167" s="4"/>
      <c r="G167" s="2"/>
      <c r="H167" s="2"/>
      <c r="I167" s="2"/>
      <c r="J167" s="2"/>
      <c r="K167" s="133"/>
      <c r="L167" s="133"/>
      <c r="M167" s="133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">
      <c r="A168" s="1"/>
      <c r="B168" s="1"/>
      <c r="C168" s="3"/>
      <c r="D168" s="3"/>
      <c r="E168" s="3"/>
      <c r="F168" s="4"/>
      <c r="G168" s="2"/>
      <c r="H168" s="2"/>
      <c r="I168" s="2"/>
      <c r="J168" s="2"/>
      <c r="K168" s="133"/>
      <c r="L168" s="133"/>
      <c r="M168" s="133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">
      <c r="A169" s="1"/>
      <c r="B169" s="1"/>
      <c r="C169" s="3"/>
      <c r="D169" s="3"/>
      <c r="E169" s="3"/>
      <c r="F169" s="4"/>
      <c r="G169" s="2"/>
      <c r="H169" s="2"/>
      <c r="I169" s="2"/>
      <c r="J169" s="2"/>
      <c r="K169" s="133"/>
      <c r="L169" s="133"/>
      <c r="M169" s="133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">
      <c r="A170" s="1"/>
      <c r="B170" s="1"/>
      <c r="C170" s="3"/>
      <c r="D170" s="3"/>
      <c r="E170" s="3"/>
      <c r="F170" s="4"/>
      <c r="G170" s="2"/>
      <c r="H170" s="2"/>
      <c r="I170" s="2"/>
      <c r="J170" s="2"/>
      <c r="K170" s="133"/>
      <c r="L170" s="133"/>
      <c r="M170" s="133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">
      <c r="A171" s="1"/>
      <c r="B171" s="1"/>
      <c r="C171" s="3"/>
      <c r="D171" s="3"/>
      <c r="E171" s="3"/>
      <c r="F171" s="4"/>
      <c r="G171" s="2"/>
      <c r="H171" s="2"/>
      <c r="I171" s="2"/>
      <c r="J171" s="2"/>
      <c r="K171" s="133"/>
      <c r="L171" s="133"/>
      <c r="M171" s="133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">
      <c r="A172" s="1"/>
      <c r="B172" s="1"/>
      <c r="C172" s="3"/>
      <c r="D172" s="3"/>
      <c r="E172" s="3"/>
      <c r="F172" s="4"/>
      <c r="G172" s="2"/>
      <c r="H172" s="2"/>
      <c r="I172" s="2"/>
      <c r="J172" s="2"/>
      <c r="K172" s="133"/>
      <c r="L172" s="133"/>
      <c r="M172" s="133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">
      <c r="A173" s="1"/>
      <c r="B173" s="1"/>
      <c r="C173" s="3"/>
      <c r="D173" s="3"/>
      <c r="E173" s="3"/>
      <c r="F173" s="4"/>
      <c r="G173" s="2"/>
      <c r="H173" s="2"/>
      <c r="I173" s="2"/>
      <c r="J173" s="2"/>
      <c r="K173" s="133"/>
      <c r="L173" s="133"/>
      <c r="M173" s="133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">
      <c r="A174" s="1"/>
      <c r="B174" s="1"/>
      <c r="C174" s="3"/>
      <c r="D174" s="3"/>
      <c r="E174" s="3"/>
      <c r="F174" s="4"/>
      <c r="G174" s="2"/>
      <c r="H174" s="2"/>
      <c r="I174" s="2"/>
      <c r="J174" s="2"/>
      <c r="K174" s="133"/>
      <c r="L174" s="133"/>
      <c r="M174" s="133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">
      <c r="A175" s="1"/>
      <c r="B175" s="1"/>
      <c r="C175" s="3"/>
      <c r="D175" s="3"/>
      <c r="E175" s="3"/>
      <c r="F175" s="4"/>
      <c r="G175" s="2"/>
      <c r="H175" s="2"/>
      <c r="I175" s="2"/>
      <c r="J175" s="2"/>
      <c r="K175" s="133"/>
      <c r="L175" s="133"/>
      <c r="M175" s="133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">
      <c r="A176" s="1"/>
      <c r="B176" s="1"/>
      <c r="C176" s="3"/>
      <c r="D176" s="3"/>
      <c r="E176" s="3"/>
      <c r="F176" s="4"/>
      <c r="G176" s="2"/>
      <c r="H176" s="2"/>
      <c r="I176" s="2"/>
      <c r="J176" s="2"/>
      <c r="K176" s="133"/>
      <c r="L176" s="133"/>
      <c r="M176" s="133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">
      <c r="A177" s="1"/>
      <c r="B177" s="1"/>
      <c r="C177" s="3"/>
      <c r="D177" s="3"/>
      <c r="E177" s="3"/>
      <c r="F177" s="4"/>
      <c r="G177" s="2"/>
      <c r="H177" s="2"/>
      <c r="I177" s="2"/>
      <c r="J177" s="2"/>
      <c r="K177" s="133"/>
      <c r="L177" s="133"/>
      <c r="M177" s="133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">
      <c r="A178" s="1"/>
      <c r="B178" s="1"/>
      <c r="C178" s="3"/>
      <c r="D178" s="3"/>
      <c r="E178" s="3"/>
      <c r="F178" s="4"/>
      <c r="G178" s="2"/>
      <c r="H178" s="2"/>
      <c r="I178" s="2"/>
      <c r="J178" s="2"/>
      <c r="K178" s="133"/>
      <c r="L178" s="133"/>
      <c r="M178" s="133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">
      <c r="A179" s="1"/>
      <c r="B179" s="1"/>
      <c r="C179" s="3"/>
      <c r="D179" s="3"/>
      <c r="E179" s="3"/>
      <c r="F179" s="4"/>
      <c r="G179" s="2"/>
      <c r="H179" s="2"/>
      <c r="I179" s="2"/>
      <c r="J179" s="2"/>
      <c r="K179" s="133"/>
      <c r="L179" s="133"/>
      <c r="M179" s="133"/>
      <c r="N179" s="4"/>
      <c r="O179" s="4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">
      <c r="A180" s="1"/>
      <c r="B180" s="1"/>
      <c r="C180" s="3"/>
      <c r="D180" s="3"/>
      <c r="E180" s="3"/>
      <c r="F180" s="4"/>
      <c r="G180" s="2"/>
      <c r="H180" s="2"/>
      <c r="I180" s="2"/>
      <c r="J180" s="2"/>
      <c r="K180" s="133"/>
      <c r="L180" s="133"/>
      <c r="M180" s="133"/>
      <c r="N180" s="4"/>
      <c r="O180" s="4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">
      <c r="A181" s="1"/>
      <c r="B181" s="1"/>
      <c r="C181" s="3"/>
      <c r="D181" s="3"/>
      <c r="E181" s="3"/>
      <c r="F181" s="4"/>
      <c r="G181" s="2"/>
      <c r="H181" s="2"/>
      <c r="I181" s="2"/>
      <c r="J181" s="2"/>
      <c r="K181" s="133"/>
      <c r="L181" s="133"/>
      <c r="M181" s="133"/>
      <c r="N181" s="4"/>
      <c r="O181" s="4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">
      <c r="A182" s="1"/>
      <c r="B182" s="1"/>
      <c r="C182" s="3"/>
      <c r="D182" s="3"/>
      <c r="E182" s="3"/>
      <c r="F182" s="4"/>
      <c r="G182" s="2"/>
      <c r="H182" s="2"/>
      <c r="I182" s="2"/>
      <c r="J182" s="2"/>
      <c r="K182" s="133"/>
      <c r="L182" s="133"/>
      <c r="M182" s="133"/>
      <c r="N182" s="4"/>
      <c r="O182" s="4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">
      <c r="A183" s="1"/>
      <c r="B183" s="1"/>
      <c r="C183" s="3"/>
      <c r="D183" s="3"/>
      <c r="E183" s="3"/>
      <c r="F183" s="4"/>
      <c r="G183" s="2"/>
      <c r="H183" s="2"/>
      <c r="I183" s="2"/>
      <c r="J183" s="2"/>
      <c r="K183" s="133"/>
      <c r="L183" s="133"/>
      <c r="M183" s="133"/>
      <c r="N183" s="4"/>
      <c r="O183" s="4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">
      <c r="A184" s="1"/>
      <c r="B184" s="1"/>
      <c r="C184" s="3"/>
      <c r="D184" s="3"/>
      <c r="E184" s="3"/>
      <c r="F184" s="4"/>
      <c r="G184" s="2"/>
      <c r="H184" s="2"/>
      <c r="I184" s="2"/>
      <c r="J184" s="2"/>
      <c r="K184" s="133"/>
      <c r="L184" s="133"/>
      <c r="M184" s="133"/>
      <c r="N184" s="4"/>
      <c r="O184" s="4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">
      <c r="A185" s="1"/>
      <c r="B185" s="1"/>
      <c r="C185" s="3"/>
      <c r="D185" s="3"/>
      <c r="E185" s="3"/>
      <c r="F185" s="4"/>
      <c r="G185" s="2"/>
      <c r="H185" s="2"/>
      <c r="I185" s="2"/>
      <c r="J185" s="2"/>
      <c r="K185" s="133"/>
      <c r="L185" s="133"/>
      <c r="M185" s="133"/>
      <c r="N185" s="4"/>
      <c r="O185" s="4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">
      <c r="A186" s="1"/>
      <c r="B186" s="1"/>
      <c r="C186" s="3"/>
      <c r="D186" s="3"/>
      <c r="E186" s="3"/>
      <c r="F186" s="4"/>
      <c r="G186" s="2"/>
      <c r="H186" s="2"/>
      <c r="I186" s="2"/>
      <c r="J186" s="2"/>
      <c r="K186" s="133"/>
      <c r="L186" s="133"/>
      <c r="M186" s="133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">
      <c r="A187" s="1"/>
      <c r="B187" s="1"/>
      <c r="C187" s="3"/>
      <c r="D187" s="3"/>
      <c r="E187" s="3"/>
      <c r="F187" s="4"/>
      <c r="G187" s="2"/>
      <c r="H187" s="2"/>
      <c r="I187" s="2"/>
      <c r="J187" s="2"/>
      <c r="K187" s="133"/>
      <c r="L187" s="133"/>
      <c r="M187" s="133"/>
      <c r="N187" s="4"/>
      <c r="O187" s="4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">
      <c r="A188" s="1"/>
      <c r="B188" s="1"/>
      <c r="C188" s="3"/>
      <c r="D188" s="3"/>
      <c r="E188" s="3"/>
      <c r="F188" s="4"/>
      <c r="G188" s="2"/>
      <c r="H188" s="2"/>
      <c r="I188" s="2"/>
      <c r="J188" s="2"/>
      <c r="K188" s="133"/>
      <c r="L188" s="133"/>
      <c r="M188" s="133"/>
      <c r="N188" s="4"/>
      <c r="O188" s="4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">
      <c r="A189" s="1"/>
      <c r="B189" s="1"/>
      <c r="C189" s="3"/>
      <c r="D189" s="3"/>
      <c r="E189" s="3"/>
      <c r="F189" s="4"/>
      <c r="G189" s="2"/>
      <c r="H189" s="2"/>
      <c r="I189" s="2"/>
      <c r="J189" s="2"/>
      <c r="K189" s="133"/>
      <c r="L189" s="133"/>
      <c r="M189" s="133"/>
      <c r="N189" s="4"/>
      <c r="O189" s="4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">
      <c r="A190" s="1"/>
      <c r="B190" s="1"/>
      <c r="C190" s="3"/>
      <c r="D190" s="3"/>
      <c r="E190" s="3"/>
      <c r="F190" s="4"/>
      <c r="G190" s="2"/>
      <c r="H190" s="2"/>
      <c r="I190" s="2"/>
      <c r="J190" s="2"/>
      <c r="K190" s="133"/>
      <c r="L190" s="133"/>
      <c r="M190" s="133"/>
      <c r="N190" s="4"/>
      <c r="O190" s="4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">
      <c r="A191" s="1"/>
      <c r="B191" s="1"/>
      <c r="C191" s="3"/>
      <c r="D191" s="3"/>
      <c r="E191" s="3"/>
      <c r="F191" s="4"/>
      <c r="G191" s="2"/>
      <c r="H191" s="2"/>
      <c r="I191" s="2"/>
      <c r="J191" s="2"/>
      <c r="K191" s="133"/>
      <c r="L191" s="133"/>
      <c r="M191" s="133"/>
      <c r="N191" s="4"/>
      <c r="O191" s="4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">
      <c r="A192" s="1"/>
      <c r="B192" s="1"/>
      <c r="C192" s="3"/>
      <c r="D192" s="3"/>
      <c r="E192" s="3"/>
      <c r="F192" s="4"/>
      <c r="G192" s="2"/>
      <c r="H192" s="2"/>
      <c r="I192" s="2"/>
      <c r="J192" s="2"/>
      <c r="K192" s="133"/>
      <c r="L192" s="133"/>
      <c r="M192" s="133"/>
      <c r="N192" s="4"/>
      <c r="O192" s="4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">
      <c r="A193" s="1"/>
      <c r="B193" s="1"/>
      <c r="C193" s="3"/>
      <c r="D193" s="3"/>
      <c r="E193" s="3"/>
      <c r="F193" s="4"/>
      <c r="G193" s="2"/>
      <c r="H193" s="2"/>
      <c r="I193" s="2"/>
      <c r="J193" s="2"/>
      <c r="K193" s="133"/>
      <c r="L193" s="133"/>
      <c r="M193" s="133"/>
      <c r="N193" s="4"/>
      <c r="O193" s="4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">
      <c r="A194" s="1"/>
      <c r="B194" s="1"/>
      <c r="C194" s="3"/>
      <c r="D194" s="3"/>
      <c r="E194" s="3"/>
      <c r="F194" s="4"/>
      <c r="G194" s="2"/>
      <c r="H194" s="2"/>
      <c r="I194" s="2"/>
      <c r="J194" s="2"/>
      <c r="K194" s="133"/>
      <c r="L194" s="133"/>
      <c r="M194" s="133"/>
      <c r="N194" s="4"/>
      <c r="O194" s="4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">
      <c r="A195" s="1"/>
      <c r="B195" s="1"/>
      <c r="C195" s="3"/>
      <c r="D195" s="3"/>
      <c r="E195" s="3"/>
      <c r="F195" s="4"/>
      <c r="G195" s="2"/>
      <c r="H195" s="2"/>
      <c r="I195" s="2"/>
      <c r="J195" s="2"/>
      <c r="K195" s="133"/>
      <c r="L195" s="133"/>
      <c r="M195" s="133"/>
      <c r="N195" s="4"/>
      <c r="O195" s="4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">
      <c r="A196" s="1"/>
      <c r="B196" s="1"/>
      <c r="C196" s="3"/>
      <c r="D196" s="3"/>
      <c r="E196" s="3"/>
      <c r="F196" s="4"/>
      <c r="G196" s="2"/>
      <c r="H196" s="2"/>
      <c r="I196" s="2"/>
      <c r="J196" s="2"/>
      <c r="K196" s="133"/>
      <c r="L196" s="133"/>
      <c r="M196" s="133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">
      <c r="A197" s="1"/>
      <c r="B197" s="1"/>
      <c r="C197" s="3"/>
      <c r="D197" s="3"/>
      <c r="E197" s="3"/>
      <c r="F197" s="4"/>
      <c r="G197" s="2"/>
      <c r="H197" s="2"/>
      <c r="I197" s="2"/>
      <c r="J197" s="2"/>
      <c r="K197" s="133"/>
      <c r="L197" s="133"/>
      <c r="M197" s="133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">
      <c r="A198" s="1"/>
      <c r="B198" s="1"/>
      <c r="C198" s="3"/>
      <c r="D198" s="3"/>
      <c r="E198" s="3"/>
      <c r="F198" s="4"/>
      <c r="G198" s="2"/>
      <c r="H198" s="2"/>
      <c r="I198" s="2"/>
      <c r="J198" s="2"/>
      <c r="K198" s="133"/>
      <c r="L198" s="133"/>
      <c r="M198" s="133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">
      <c r="A199" s="1"/>
      <c r="B199" s="1"/>
      <c r="C199" s="3"/>
      <c r="D199" s="3"/>
      <c r="E199" s="3"/>
      <c r="F199" s="4"/>
      <c r="G199" s="2"/>
      <c r="H199" s="2"/>
      <c r="I199" s="2"/>
      <c r="J199" s="2"/>
      <c r="K199" s="133"/>
      <c r="L199" s="133"/>
      <c r="M199" s="133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">
      <c r="A200" s="1"/>
      <c r="B200" s="1"/>
      <c r="C200" s="3"/>
      <c r="D200" s="3"/>
      <c r="E200" s="3"/>
      <c r="F200" s="4"/>
      <c r="G200" s="2"/>
      <c r="H200" s="2"/>
      <c r="I200" s="2"/>
      <c r="J200" s="2"/>
      <c r="K200" s="133"/>
      <c r="L200" s="133"/>
      <c r="M200" s="133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">
      <c r="A201" s="1"/>
      <c r="B201" s="1"/>
      <c r="C201" s="3"/>
      <c r="D201" s="3"/>
      <c r="E201" s="3"/>
      <c r="F201" s="4"/>
      <c r="G201" s="2"/>
      <c r="H201" s="2"/>
      <c r="I201" s="2"/>
      <c r="J201" s="2"/>
      <c r="K201" s="133"/>
      <c r="L201" s="133"/>
      <c r="M201" s="133"/>
      <c r="N201" s="4"/>
      <c r="O201" s="4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">
      <c r="A202" s="1"/>
      <c r="B202" s="1"/>
      <c r="C202" s="3"/>
      <c r="D202" s="3"/>
      <c r="E202" s="3"/>
      <c r="F202" s="4"/>
      <c r="G202" s="2"/>
      <c r="H202" s="2"/>
      <c r="I202" s="2"/>
      <c r="J202" s="2"/>
      <c r="K202" s="133"/>
      <c r="L202" s="133"/>
      <c r="M202" s="133"/>
      <c r="N202" s="4"/>
      <c r="O202" s="4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">
      <c r="A203" s="1"/>
      <c r="B203" s="1"/>
      <c r="C203" s="3"/>
      <c r="D203" s="3"/>
      <c r="E203" s="3"/>
      <c r="F203" s="4"/>
      <c r="G203" s="2"/>
      <c r="H203" s="2"/>
      <c r="I203" s="2"/>
      <c r="J203" s="2"/>
      <c r="K203" s="133"/>
      <c r="L203" s="133"/>
      <c r="M203" s="133"/>
      <c r="N203" s="4"/>
      <c r="O203" s="4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">
      <c r="A204" s="1"/>
      <c r="B204" s="1"/>
      <c r="C204" s="3"/>
      <c r="D204" s="3"/>
      <c r="E204" s="3"/>
      <c r="F204" s="4"/>
      <c r="G204" s="2"/>
      <c r="H204" s="2"/>
      <c r="I204" s="2"/>
      <c r="J204" s="2"/>
      <c r="K204" s="133"/>
      <c r="L204" s="133"/>
      <c r="M204" s="133"/>
      <c r="N204" s="4"/>
      <c r="O204" s="4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">
      <c r="A205" s="1"/>
      <c r="B205" s="1"/>
      <c r="C205" s="3"/>
      <c r="D205" s="3"/>
      <c r="E205" s="3"/>
      <c r="F205" s="4"/>
      <c r="G205" s="2"/>
      <c r="H205" s="2"/>
      <c r="I205" s="2"/>
      <c r="J205" s="2"/>
      <c r="K205" s="133"/>
      <c r="L205" s="133"/>
      <c r="M205" s="133"/>
      <c r="N205" s="4"/>
      <c r="O205" s="4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">
      <c r="A206" s="1"/>
      <c r="B206" s="1"/>
      <c r="C206" s="3"/>
      <c r="D206" s="3"/>
      <c r="E206" s="3"/>
      <c r="F206" s="4"/>
      <c r="G206" s="2"/>
      <c r="H206" s="2"/>
      <c r="I206" s="2"/>
      <c r="J206" s="2"/>
      <c r="K206" s="133"/>
      <c r="L206" s="133"/>
      <c r="M206" s="133"/>
      <c r="N206" s="4"/>
      <c r="O206" s="4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">
      <c r="A207" s="1"/>
      <c r="B207" s="1"/>
      <c r="C207" s="3"/>
      <c r="D207" s="3"/>
      <c r="E207" s="3"/>
      <c r="F207" s="4"/>
      <c r="G207" s="2"/>
      <c r="H207" s="2"/>
      <c r="I207" s="2"/>
      <c r="J207" s="2"/>
      <c r="K207" s="133"/>
      <c r="L207" s="133"/>
      <c r="M207" s="133"/>
      <c r="N207" s="4"/>
      <c r="O207" s="4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">
      <c r="A208" s="1"/>
      <c r="B208" s="1"/>
      <c r="C208" s="3"/>
      <c r="D208" s="3"/>
      <c r="E208" s="3"/>
      <c r="F208" s="4"/>
      <c r="G208" s="2"/>
      <c r="H208" s="2"/>
      <c r="I208" s="2"/>
      <c r="J208" s="2"/>
      <c r="K208" s="133"/>
      <c r="L208" s="133"/>
      <c r="M208" s="133"/>
      <c r="N208" s="4"/>
      <c r="O208" s="4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">
      <c r="A209" s="1"/>
      <c r="B209" s="1"/>
      <c r="C209" s="3"/>
      <c r="D209" s="3"/>
      <c r="E209" s="3"/>
      <c r="F209" s="4"/>
      <c r="G209" s="2"/>
      <c r="H209" s="2"/>
      <c r="I209" s="2"/>
      <c r="J209" s="2"/>
      <c r="K209" s="133"/>
      <c r="L209" s="133"/>
      <c r="M209" s="133"/>
      <c r="N209" s="4"/>
      <c r="O209" s="4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">
      <c r="A210" s="1"/>
      <c r="B210" s="1"/>
      <c r="C210" s="3"/>
      <c r="D210" s="3"/>
      <c r="E210" s="3"/>
      <c r="F210" s="4"/>
      <c r="G210" s="2"/>
      <c r="H210" s="2"/>
      <c r="I210" s="2"/>
      <c r="J210" s="2"/>
      <c r="K210" s="133"/>
      <c r="L210" s="133"/>
      <c r="M210" s="133"/>
      <c r="N210" s="4"/>
      <c r="O210" s="4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">
      <c r="A211" s="1"/>
      <c r="B211" s="1"/>
      <c r="C211" s="3"/>
      <c r="D211" s="3"/>
      <c r="E211" s="3"/>
      <c r="F211" s="4"/>
      <c r="G211" s="2"/>
      <c r="H211" s="2"/>
      <c r="I211" s="2"/>
      <c r="J211" s="2"/>
      <c r="K211" s="133"/>
      <c r="L211" s="133"/>
      <c r="M211" s="133"/>
      <c r="N211" s="4"/>
      <c r="O211" s="4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">
      <c r="A212" s="1"/>
      <c r="B212" s="1"/>
      <c r="C212" s="3"/>
      <c r="D212" s="3"/>
      <c r="E212" s="3"/>
      <c r="F212" s="4"/>
      <c r="G212" s="2"/>
      <c r="H212" s="2"/>
      <c r="I212" s="2"/>
      <c r="J212" s="2"/>
      <c r="K212" s="133"/>
      <c r="L212" s="133"/>
      <c r="M212" s="133"/>
      <c r="N212" s="4"/>
      <c r="O212" s="4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">
      <c r="A213" s="1"/>
      <c r="B213" s="1"/>
      <c r="C213" s="3"/>
      <c r="D213" s="3"/>
      <c r="E213" s="3"/>
      <c r="F213" s="4"/>
      <c r="G213" s="2"/>
      <c r="H213" s="2"/>
      <c r="I213" s="2"/>
      <c r="J213" s="2"/>
      <c r="K213" s="133"/>
      <c r="L213" s="133"/>
      <c r="M213" s="133"/>
      <c r="N213" s="4"/>
      <c r="O213" s="4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">
      <c r="A214" s="1"/>
      <c r="B214" s="1"/>
      <c r="C214" s="3"/>
      <c r="D214" s="3"/>
      <c r="E214" s="3"/>
      <c r="F214" s="4"/>
      <c r="G214" s="2"/>
      <c r="H214" s="2"/>
      <c r="I214" s="2"/>
      <c r="J214" s="2"/>
      <c r="K214" s="133"/>
      <c r="L214" s="133"/>
      <c r="M214" s="133"/>
      <c r="N214" s="4"/>
      <c r="O214" s="4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">
      <c r="A215" s="1"/>
      <c r="B215" s="1"/>
      <c r="C215" s="3"/>
      <c r="D215" s="3"/>
      <c r="E215" s="3"/>
      <c r="F215" s="4"/>
      <c r="G215" s="2"/>
      <c r="H215" s="2"/>
      <c r="I215" s="2"/>
      <c r="J215" s="2"/>
      <c r="K215" s="133"/>
      <c r="L215" s="133"/>
      <c r="M215" s="133"/>
      <c r="N215" s="4"/>
      <c r="O215" s="4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">
      <c r="A216" s="1"/>
      <c r="B216" s="1"/>
      <c r="C216" s="3"/>
      <c r="D216" s="3"/>
      <c r="E216" s="3"/>
      <c r="F216" s="4"/>
      <c r="G216" s="2"/>
      <c r="H216" s="2"/>
      <c r="I216" s="2"/>
      <c r="J216" s="2"/>
      <c r="K216" s="133"/>
      <c r="L216" s="133"/>
      <c r="M216" s="133"/>
      <c r="N216" s="4"/>
      <c r="O216" s="4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">
      <c r="A217" s="1"/>
      <c r="B217" s="1"/>
      <c r="C217" s="3"/>
      <c r="D217" s="3"/>
      <c r="E217" s="3"/>
      <c r="F217" s="4"/>
      <c r="G217" s="2"/>
      <c r="H217" s="2"/>
      <c r="I217" s="2"/>
      <c r="J217" s="2"/>
      <c r="K217" s="133"/>
      <c r="L217" s="133"/>
      <c r="M217" s="133"/>
      <c r="N217" s="4"/>
      <c r="O217" s="4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">
      <c r="A218" s="1"/>
      <c r="B218" s="1"/>
      <c r="C218" s="3"/>
      <c r="D218" s="3"/>
      <c r="E218" s="3"/>
      <c r="F218" s="4"/>
      <c r="G218" s="2"/>
      <c r="H218" s="2"/>
      <c r="I218" s="2"/>
      <c r="J218" s="2"/>
      <c r="K218" s="133"/>
      <c r="L218" s="133"/>
      <c r="M218" s="133"/>
      <c r="N218" s="4"/>
      <c r="O218" s="4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">
      <c r="A219" s="1"/>
      <c r="B219" s="1"/>
      <c r="C219" s="3"/>
      <c r="D219" s="3"/>
      <c r="E219" s="3"/>
      <c r="F219" s="4"/>
      <c r="G219" s="2"/>
      <c r="H219" s="2"/>
      <c r="I219" s="2"/>
      <c r="J219" s="2"/>
      <c r="K219" s="133"/>
      <c r="L219" s="133"/>
      <c r="M219" s="133"/>
      <c r="N219" s="4"/>
      <c r="O219" s="4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">
      <c r="A220" s="1"/>
      <c r="B220" s="1"/>
      <c r="C220" s="3"/>
      <c r="D220" s="3"/>
      <c r="E220" s="3"/>
      <c r="F220" s="4"/>
      <c r="G220" s="2"/>
      <c r="H220" s="2"/>
      <c r="I220" s="2"/>
      <c r="J220" s="2"/>
      <c r="K220" s="133"/>
      <c r="L220" s="133"/>
      <c r="M220" s="133"/>
      <c r="N220" s="4"/>
      <c r="O220" s="4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">
      <c r="A221" s="1"/>
      <c r="B221" s="1"/>
      <c r="C221" s="3"/>
      <c r="D221" s="3"/>
      <c r="E221" s="3"/>
      <c r="F221" s="4"/>
      <c r="G221" s="2"/>
      <c r="H221" s="2"/>
      <c r="I221" s="2"/>
      <c r="J221" s="2"/>
      <c r="K221" s="133"/>
      <c r="L221" s="133"/>
      <c r="M221" s="133"/>
      <c r="N221" s="4"/>
      <c r="O221" s="4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">
      <c r="A222" s="1"/>
      <c r="B222" s="1"/>
      <c r="C222" s="3"/>
      <c r="D222" s="3"/>
      <c r="E222" s="3"/>
      <c r="F222" s="4"/>
      <c r="G222" s="2"/>
      <c r="H222" s="2"/>
      <c r="I222" s="2"/>
      <c r="J222" s="2"/>
      <c r="K222" s="133"/>
      <c r="L222" s="133"/>
      <c r="M222" s="133"/>
      <c r="N222" s="4"/>
      <c r="O222" s="4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">
      <c r="A223" s="1"/>
      <c r="B223" s="1"/>
      <c r="C223" s="3"/>
      <c r="D223" s="3"/>
      <c r="E223" s="3"/>
      <c r="F223" s="4"/>
      <c r="G223" s="2"/>
      <c r="H223" s="2"/>
      <c r="I223" s="2"/>
      <c r="J223" s="2"/>
      <c r="K223" s="133"/>
      <c r="L223" s="133"/>
      <c r="M223" s="133"/>
      <c r="N223" s="4"/>
      <c r="O223" s="4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">
      <c r="A224" s="1"/>
      <c r="B224" s="1"/>
      <c r="C224" s="3"/>
      <c r="D224" s="3"/>
      <c r="E224" s="3"/>
      <c r="F224" s="4"/>
      <c r="G224" s="2"/>
      <c r="H224" s="2"/>
      <c r="I224" s="2"/>
      <c r="J224" s="2"/>
      <c r="K224" s="133"/>
      <c r="L224" s="133"/>
      <c r="M224" s="133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">
      <c r="A225" s="1"/>
      <c r="B225" s="1"/>
      <c r="C225" s="3"/>
      <c r="D225" s="3"/>
      <c r="E225" s="3"/>
      <c r="F225" s="4"/>
      <c r="G225" s="2"/>
      <c r="H225" s="2"/>
      <c r="I225" s="2"/>
      <c r="J225" s="2"/>
      <c r="K225" s="133"/>
      <c r="L225" s="133"/>
      <c r="M225" s="133"/>
      <c r="N225" s="4"/>
      <c r="O225" s="4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">
      <c r="A226" s="1"/>
      <c r="B226" s="1"/>
      <c r="C226" s="3"/>
      <c r="D226" s="3"/>
      <c r="E226" s="3"/>
      <c r="F226" s="4"/>
      <c r="G226" s="2"/>
      <c r="H226" s="2"/>
      <c r="I226" s="2"/>
      <c r="J226" s="2"/>
      <c r="K226" s="133"/>
      <c r="L226" s="133"/>
      <c r="M226" s="133"/>
      <c r="N226" s="4"/>
      <c r="O226" s="4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">
      <c r="A227" s="1"/>
      <c r="B227" s="1"/>
      <c r="C227" s="3"/>
      <c r="D227" s="3"/>
      <c r="E227" s="3"/>
      <c r="F227" s="4"/>
      <c r="G227" s="2"/>
      <c r="H227" s="2"/>
      <c r="I227" s="2"/>
      <c r="J227" s="2"/>
      <c r="K227" s="133"/>
      <c r="L227" s="133"/>
      <c r="M227" s="133"/>
      <c r="N227" s="4"/>
      <c r="O227" s="4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">
      <c r="A228" s="1"/>
      <c r="B228" s="1"/>
      <c r="C228" s="3"/>
      <c r="D228" s="3"/>
      <c r="E228" s="3"/>
      <c r="F228" s="4"/>
      <c r="G228" s="2"/>
      <c r="H228" s="2"/>
      <c r="I228" s="2"/>
      <c r="J228" s="2"/>
      <c r="K228" s="133"/>
      <c r="L228" s="133"/>
      <c r="M228" s="133"/>
      <c r="N228" s="4"/>
      <c r="O228" s="4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">
      <c r="A229" s="1"/>
      <c r="B229" s="1"/>
      <c r="C229" s="3"/>
      <c r="D229" s="3"/>
      <c r="E229" s="3"/>
      <c r="F229" s="4"/>
      <c r="G229" s="2"/>
      <c r="H229" s="2"/>
      <c r="I229" s="2"/>
      <c r="J229" s="2"/>
      <c r="K229" s="133"/>
      <c r="L229" s="133"/>
      <c r="M229" s="133"/>
      <c r="N229" s="4"/>
      <c r="O229" s="4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">
      <c r="A230" s="1"/>
      <c r="B230" s="1"/>
      <c r="C230" s="3"/>
      <c r="D230" s="3"/>
      <c r="E230" s="3"/>
      <c r="F230" s="4"/>
      <c r="G230" s="2"/>
      <c r="H230" s="2"/>
      <c r="I230" s="2"/>
      <c r="J230" s="2"/>
      <c r="K230" s="133"/>
      <c r="L230" s="133"/>
      <c r="M230" s="133"/>
      <c r="N230" s="4"/>
      <c r="O230" s="4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">
      <c r="A231" s="1"/>
      <c r="B231" s="1"/>
      <c r="C231" s="3"/>
      <c r="D231" s="3"/>
      <c r="E231" s="3"/>
      <c r="F231" s="4"/>
      <c r="G231" s="2"/>
      <c r="H231" s="2"/>
      <c r="I231" s="2"/>
      <c r="J231" s="2"/>
      <c r="K231" s="133"/>
      <c r="L231" s="133"/>
      <c r="M231" s="133"/>
      <c r="N231" s="4"/>
      <c r="O231" s="4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">
      <c r="A232" s="1"/>
      <c r="B232" s="1"/>
      <c r="C232" s="3"/>
      <c r="D232" s="3"/>
      <c r="E232" s="3"/>
      <c r="F232" s="4"/>
      <c r="G232" s="2"/>
      <c r="H232" s="2"/>
      <c r="I232" s="2"/>
      <c r="J232" s="2"/>
      <c r="K232" s="133"/>
      <c r="L232" s="133"/>
      <c r="M232" s="133"/>
      <c r="N232" s="4"/>
      <c r="O232" s="4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">
      <c r="A233" s="1"/>
      <c r="B233" s="1"/>
      <c r="C233" s="3"/>
      <c r="D233" s="3"/>
      <c r="E233" s="3"/>
      <c r="F233" s="4"/>
      <c r="G233" s="2"/>
      <c r="H233" s="2"/>
      <c r="I233" s="2"/>
      <c r="J233" s="2"/>
      <c r="K233" s="133"/>
      <c r="L233" s="133"/>
      <c r="M233" s="133"/>
      <c r="N233" s="4"/>
      <c r="O233" s="4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">
      <c r="A234" s="1"/>
      <c r="B234" s="1"/>
      <c r="C234" s="3"/>
      <c r="D234" s="3"/>
      <c r="E234" s="3"/>
      <c r="F234" s="4"/>
      <c r="G234" s="2"/>
      <c r="H234" s="2"/>
      <c r="I234" s="2"/>
      <c r="J234" s="2"/>
      <c r="K234" s="133"/>
      <c r="L234" s="133"/>
      <c r="M234" s="133"/>
      <c r="N234" s="4"/>
      <c r="O234" s="4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">
      <c r="A235" s="1"/>
      <c r="B235" s="1"/>
      <c r="C235" s="3"/>
      <c r="D235" s="3"/>
      <c r="E235" s="3"/>
      <c r="F235" s="4"/>
      <c r="G235" s="2"/>
      <c r="H235" s="2"/>
      <c r="I235" s="2"/>
      <c r="J235" s="2"/>
      <c r="K235" s="133"/>
      <c r="L235" s="133"/>
      <c r="M235" s="133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">
      <c r="A236" s="1"/>
      <c r="B236" s="1"/>
      <c r="C236" s="3"/>
      <c r="D236" s="3"/>
      <c r="E236" s="3"/>
      <c r="F236" s="4"/>
      <c r="G236" s="2"/>
      <c r="H236" s="2"/>
      <c r="I236" s="2"/>
      <c r="J236" s="2"/>
      <c r="K236" s="133"/>
      <c r="L236" s="133"/>
      <c r="M236" s="133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">
      <c r="A237" s="1"/>
      <c r="B237" s="1"/>
      <c r="C237" s="3"/>
      <c r="D237" s="3"/>
      <c r="E237" s="3"/>
      <c r="F237" s="4"/>
      <c r="G237" s="2"/>
      <c r="H237" s="2"/>
      <c r="I237" s="2"/>
      <c r="J237" s="2"/>
      <c r="K237" s="133"/>
      <c r="L237" s="133"/>
      <c r="M237" s="133"/>
      <c r="N237" s="4"/>
      <c r="O237" s="4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">
      <c r="A238" s="1"/>
      <c r="B238" s="1"/>
      <c r="C238" s="3"/>
      <c r="D238" s="3"/>
      <c r="E238" s="3"/>
      <c r="F238" s="4"/>
      <c r="G238" s="2"/>
      <c r="H238" s="2"/>
      <c r="I238" s="2"/>
      <c r="J238" s="2"/>
      <c r="K238" s="133"/>
      <c r="L238" s="133"/>
      <c r="M238" s="133"/>
      <c r="N238" s="4"/>
      <c r="O238" s="4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">
      <c r="A239" s="1"/>
      <c r="B239" s="1"/>
      <c r="C239" s="3"/>
      <c r="D239" s="3"/>
      <c r="E239" s="3"/>
      <c r="F239" s="4"/>
      <c r="G239" s="2"/>
      <c r="H239" s="2"/>
      <c r="I239" s="2"/>
      <c r="J239" s="2"/>
      <c r="K239" s="133"/>
      <c r="L239" s="133"/>
      <c r="M239" s="133"/>
      <c r="N239" s="4"/>
      <c r="O239" s="4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">
      <c r="A240" s="1"/>
      <c r="B240" s="1"/>
      <c r="C240" s="3"/>
      <c r="D240" s="3"/>
      <c r="E240" s="3"/>
      <c r="F240" s="4"/>
      <c r="G240" s="2"/>
      <c r="H240" s="2"/>
      <c r="I240" s="2"/>
      <c r="J240" s="2"/>
      <c r="K240" s="133"/>
      <c r="L240" s="133"/>
      <c r="M240" s="133"/>
      <c r="N240" s="4"/>
      <c r="O240" s="4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">
      <c r="A241" s="1"/>
      <c r="B241" s="1"/>
      <c r="C241" s="3"/>
      <c r="D241" s="3"/>
      <c r="E241" s="3"/>
      <c r="F241" s="4"/>
      <c r="G241" s="2"/>
      <c r="H241" s="2"/>
      <c r="I241" s="2"/>
      <c r="J241" s="2"/>
      <c r="K241" s="133"/>
      <c r="L241" s="133"/>
      <c r="M241" s="133"/>
      <c r="N241" s="4"/>
      <c r="O241" s="4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">
      <c r="A242" s="1"/>
      <c r="B242" s="1"/>
      <c r="C242" s="3"/>
      <c r="D242" s="3"/>
      <c r="E242" s="3"/>
      <c r="F242" s="4"/>
      <c r="G242" s="2"/>
      <c r="H242" s="2"/>
      <c r="I242" s="2"/>
      <c r="J242" s="2"/>
      <c r="K242" s="133"/>
      <c r="L242" s="133"/>
      <c r="M242" s="133"/>
      <c r="N242" s="4"/>
      <c r="O242" s="4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">
      <c r="A243" s="1"/>
      <c r="B243" s="1"/>
      <c r="C243" s="3"/>
      <c r="D243" s="3"/>
      <c r="E243" s="3"/>
      <c r="F243" s="4"/>
      <c r="G243" s="2"/>
      <c r="H243" s="2"/>
      <c r="I243" s="2"/>
      <c r="J243" s="2"/>
      <c r="K243" s="133"/>
      <c r="L243" s="133"/>
      <c r="M243" s="133"/>
      <c r="N243" s="4"/>
      <c r="O243" s="4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">
      <c r="A244" s="1"/>
      <c r="B244" s="1"/>
      <c r="C244" s="3"/>
      <c r="D244" s="3"/>
      <c r="E244" s="3"/>
      <c r="F244" s="4"/>
      <c r="G244" s="2"/>
      <c r="H244" s="2"/>
      <c r="I244" s="2"/>
      <c r="J244" s="2"/>
      <c r="K244" s="133"/>
      <c r="L244" s="133"/>
      <c r="M244" s="133"/>
      <c r="N244" s="4"/>
      <c r="O244" s="4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">
      <c r="A245" s="1"/>
      <c r="B245" s="1"/>
      <c r="C245" s="3"/>
      <c r="D245" s="3"/>
      <c r="E245" s="3"/>
      <c r="F245" s="4"/>
      <c r="G245" s="2"/>
      <c r="H245" s="2"/>
      <c r="I245" s="2"/>
      <c r="J245" s="2"/>
      <c r="K245" s="133"/>
      <c r="L245" s="133"/>
      <c r="M245" s="133"/>
      <c r="N245" s="4"/>
      <c r="O245" s="4"/>
      <c r="P245" s="4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">
      <c r="A246" s="1"/>
      <c r="B246" s="1"/>
      <c r="C246" s="3"/>
      <c r="D246" s="3"/>
      <c r="E246" s="3"/>
      <c r="F246" s="4"/>
      <c r="G246" s="2"/>
      <c r="H246" s="2"/>
      <c r="I246" s="2"/>
      <c r="J246" s="2"/>
      <c r="K246" s="133"/>
      <c r="L246" s="133"/>
      <c r="M246" s="133"/>
      <c r="N246" s="4"/>
      <c r="O246" s="4"/>
      <c r="P246" s="4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">
      <c r="A247" s="1"/>
      <c r="B247" s="1"/>
      <c r="C247" s="3"/>
      <c r="D247" s="3"/>
      <c r="E247" s="3"/>
      <c r="F247" s="4"/>
      <c r="G247" s="2"/>
      <c r="H247" s="2"/>
      <c r="I247" s="2"/>
      <c r="J247" s="2"/>
      <c r="K247" s="133"/>
      <c r="L247" s="133"/>
      <c r="M247" s="133"/>
      <c r="N247" s="4"/>
      <c r="O247" s="4"/>
      <c r="P247" s="4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">
      <c r="A248" s="1"/>
      <c r="B248" s="1"/>
      <c r="C248" s="3"/>
      <c r="D248" s="3"/>
      <c r="E248" s="3"/>
      <c r="F248" s="4"/>
      <c r="G248" s="2"/>
      <c r="H248" s="2"/>
      <c r="I248" s="2"/>
      <c r="J248" s="2"/>
      <c r="K248" s="133"/>
      <c r="L248" s="133"/>
      <c r="M248" s="133"/>
      <c r="N248" s="4"/>
      <c r="O248" s="4"/>
      <c r="P248" s="4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">
      <c r="A249" s="1"/>
      <c r="B249" s="1"/>
      <c r="C249" s="3"/>
      <c r="D249" s="3"/>
      <c r="E249" s="3"/>
      <c r="F249" s="4"/>
      <c r="G249" s="2"/>
      <c r="H249" s="2"/>
      <c r="I249" s="2"/>
      <c r="J249" s="2"/>
      <c r="K249" s="133"/>
      <c r="L249" s="133"/>
      <c r="M249" s="133"/>
      <c r="N249" s="4"/>
      <c r="O249" s="4"/>
      <c r="P249" s="4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">
      <c r="A250" s="1"/>
      <c r="B250" s="1"/>
      <c r="C250" s="3"/>
      <c r="D250" s="3"/>
      <c r="E250" s="3"/>
      <c r="F250" s="4"/>
      <c r="G250" s="2"/>
      <c r="H250" s="2"/>
      <c r="I250" s="2"/>
      <c r="J250" s="2"/>
      <c r="K250" s="133"/>
      <c r="L250" s="133"/>
      <c r="M250" s="133"/>
      <c r="N250" s="4"/>
      <c r="O250" s="4"/>
      <c r="P250" s="4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">
      <c r="A251" s="1"/>
      <c r="B251" s="1"/>
      <c r="C251" s="3"/>
      <c r="D251" s="3"/>
      <c r="E251" s="3"/>
      <c r="F251" s="4"/>
      <c r="G251" s="2"/>
      <c r="H251" s="2"/>
      <c r="I251" s="2"/>
      <c r="J251" s="2"/>
      <c r="K251" s="133"/>
      <c r="L251" s="133"/>
      <c r="M251" s="133"/>
      <c r="N251" s="4"/>
      <c r="O251" s="4"/>
      <c r="P251" s="4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">
      <c r="A252" s="1"/>
      <c r="B252" s="1"/>
      <c r="C252" s="3"/>
      <c r="D252" s="3"/>
      <c r="E252" s="3"/>
      <c r="F252" s="4"/>
      <c r="G252" s="2"/>
      <c r="H252" s="2"/>
      <c r="I252" s="2"/>
      <c r="J252" s="2"/>
      <c r="K252" s="133"/>
      <c r="L252" s="133"/>
      <c r="M252" s="133"/>
      <c r="N252" s="4"/>
      <c r="O252" s="4"/>
      <c r="P252" s="4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">
      <c r="A253" s="1"/>
      <c r="B253" s="1"/>
      <c r="C253" s="3"/>
      <c r="D253" s="3"/>
      <c r="E253" s="3"/>
      <c r="F253" s="4"/>
      <c r="G253" s="2"/>
      <c r="H253" s="2"/>
      <c r="I253" s="2"/>
      <c r="J253" s="2"/>
      <c r="K253" s="133"/>
      <c r="L253" s="133"/>
      <c r="M253" s="133"/>
      <c r="N253" s="4"/>
      <c r="O253" s="4"/>
      <c r="P253" s="4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">
      <c r="A254" s="1"/>
      <c r="B254" s="1"/>
      <c r="C254" s="3"/>
      <c r="D254" s="3"/>
      <c r="E254" s="3"/>
      <c r="F254" s="4"/>
      <c r="G254" s="2"/>
      <c r="H254" s="2"/>
      <c r="I254" s="2"/>
      <c r="J254" s="2"/>
      <c r="K254" s="133"/>
      <c r="L254" s="133"/>
      <c r="M254" s="133"/>
      <c r="N254" s="4"/>
      <c r="O254" s="4"/>
      <c r="P254" s="4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">
      <c r="A255" s="1"/>
      <c r="B255" s="1"/>
      <c r="C255" s="3"/>
      <c r="D255" s="3"/>
      <c r="E255" s="3"/>
      <c r="F255" s="4"/>
      <c r="G255" s="2"/>
      <c r="H255" s="2"/>
      <c r="I255" s="2"/>
      <c r="J255" s="2"/>
      <c r="K255" s="133"/>
      <c r="L255" s="133"/>
      <c r="M255" s="133"/>
      <c r="N255" s="4"/>
      <c r="O255" s="4"/>
      <c r="P255" s="4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">
      <c r="A256" s="1"/>
      <c r="B256" s="1"/>
      <c r="C256" s="3"/>
      <c r="D256" s="3"/>
      <c r="E256" s="3"/>
      <c r="F256" s="4"/>
      <c r="G256" s="2"/>
      <c r="H256" s="2"/>
      <c r="I256" s="2"/>
      <c r="J256" s="2"/>
      <c r="K256" s="133"/>
      <c r="L256" s="133"/>
      <c r="M256" s="133"/>
      <c r="N256" s="4"/>
      <c r="O256" s="4"/>
      <c r="P256" s="4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">
      <c r="A257" s="1"/>
      <c r="B257" s="1"/>
      <c r="C257" s="3"/>
      <c r="D257" s="3"/>
      <c r="E257" s="3"/>
      <c r="F257" s="4"/>
      <c r="G257" s="2"/>
      <c r="H257" s="2"/>
      <c r="I257" s="2"/>
      <c r="J257" s="2"/>
      <c r="K257" s="133"/>
      <c r="L257" s="133"/>
      <c r="M257" s="133"/>
      <c r="N257" s="4"/>
      <c r="O257" s="4"/>
      <c r="P257" s="4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">
      <c r="F258" s="62"/>
      <c r="N258" s="62"/>
      <c r="O258" s="62"/>
      <c r="P258" s="62"/>
    </row>
    <row r="259" spans="1:32" ht="15.75" customHeight="1" x14ac:dyDescent="0.2">
      <c r="F259" s="62"/>
      <c r="N259" s="62"/>
      <c r="O259" s="62"/>
      <c r="P259" s="62"/>
    </row>
    <row r="260" spans="1:32" ht="15.75" customHeight="1" x14ac:dyDescent="0.2">
      <c r="F260" s="62"/>
      <c r="N260" s="62"/>
      <c r="O260" s="62"/>
      <c r="P260" s="62"/>
    </row>
    <row r="261" spans="1:32" ht="15.75" customHeight="1" x14ac:dyDescent="0.2">
      <c r="F261" s="62"/>
      <c r="N261" s="62"/>
      <c r="O261" s="62"/>
      <c r="P261" s="62"/>
    </row>
    <row r="262" spans="1:32" ht="15.75" customHeight="1" x14ac:dyDescent="0.2">
      <c r="F262" s="62"/>
      <c r="N262" s="62"/>
      <c r="O262" s="62"/>
      <c r="P262" s="62"/>
    </row>
    <row r="263" spans="1:32" ht="15.75" customHeight="1" x14ac:dyDescent="0.2">
      <c r="F263" s="62"/>
      <c r="N263" s="62"/>
      <c r="O263" s="62"/>
      <c r="P263" s="62"/>
    </row>
    <row r="264" spans="1:32" ht="15.75" customHeight="1" x14ac:dyDescent="0.2">
      <c r="F264" s="62"/>
      <c r="N264" s="62"/>
      <c r="O264" s="62"/>
      <c r="P264" s="62"/>
    </row>
    <row r="265" spans="1:32" ht="15.75" customHeight="1" x14ac:dyDescent="0.2">
      <c r="F265" s="62"/>
      <c r="N265" s="62"/>
      <c r="O265" s="62"/>
      <c r="P265" s="62"/>
    </row>
    <row r="266" spans="1:32" ht="15.75" customHeight="1" x14ac:dyDescent="0.2">
      <c r="F266" s="62"/>
      <c r="N266" s="62"/>
      <c r="O266" s="62"/>
      <c r="P266" s="62"/>
    </row>
    <row r="267" spans="1:32" ht="15.75" customHeight="1" x14ac:dyDescent="0.2">
      <c r="F267" s="62"/>
      <c r="N267" s="62"/>
      <c r="O267" s="62"/>
      <c r="P267" s="62"/>
    </row>
    <row r="268" spans="1:32" ht="15.75" customHeight="1" x14ac:dyDescent="0.2">
      <c r="F268" s="62"/>
      <c r="N268" s="62"/>
      <c r="O268" s="62"/>
      <c r="P268" s="62"/>
    </row>
    <row r="269" spans="1:32" ht="15.75" customHeight="1" x14ac:dyDescent="0.2">
      <c r="F269" s="62"/>
      <c r="N269" s="62"/>
      <c r="O269" s="62"/>
      <c r="P269" s="62"/>
    </row>
    <row r="270" spans="1:32" ht="15.75" customHeight="1" x14ac:dyDescent="0.2">
      <c r="F270" s="62"/>
      <c r="N270" s="62"/>
      <c r="O270" s="62"/>
      <c r="P270" s="62"/>
    </row>
    <row r="271" spans="1:32" ht="15.75" customHeight="1" x14ac:dyDescent="0.2">
      <c r="F271" s="62"/>
      <c r="N271" s="62"/>
      <c r="O271" s="62"/>
      <c r="P271" s="62"/>
    </row>
    <row r="272" spans="1:32" ht="15.75" customHeight="1" x14ac:dyDescent="0.2">
      <c r="F272" s="62"/>
      <c r="N272" s="62"/>
      <c r="O272" s="62"/>
      <c r="P272" s="62"/>
    </row>
    <row r="273" spans="6:16" ht="15.75" customHeight="1" x14ac:dyDescent="0.2">
      <c r="F273" s="62"/>
      <c r="N273" s="62"/>
      <c r="O273" s="62"/>
      <c r="P273" s="62"/>
    </row>
    <row r="274" spans="6:16" ht="15.75" customHeight="1" x14ac:dyDescent="0.2">
      <c r="F274" s="62"/>
      <c r="N274" s="62"/>
      <c r="O274" s="62"/>
      <c r="P274" s="62"/>
    </row>
    <row r="275" spans="6:16" ht="15.75" customHeight="1" x14ac:dyDescent="0.2">
      <c r="F275" s="62"/>
      <c r="N275" s="62"/>
      <c r="O275" s="62"/>
      <c r="P275" s="62"/>
    </row>
    <row r="276" spans="6:16" ht="15.75" customHeight="1" x14ac:dyDescent="0.2">
      <c r="F276" s="62"/>
      <c r="N276" s="62"/>
      <c r="O276" s="62"/>
      <c r="P276" s="62"/>
    </row>
    <row r="277" spans="6:16" ht="15.75" customHeight="1" x14ac:dyDescent="0.2">
      <c r="F277" s="62"/>
      <c r="N277" s="62"/>
      <c r="O277" s="62"/>
      <c r="P277" s="62"/>
    </row>
    <row r="278" spans="6:16" ht="15.75" customHeight="1" x14ac:dyDescent="0.2">
      <c r="F278" s="62"/>
      <c r="N278" s="62"/>
      <c r="O278" s="62"/>
      <c r="P278" s="62"/>
    </row>
    <row r="279" spans="6:16" ht="15.75" customHeight="1" x14ac:dyDescent="0.2">
      <c r="F279" s="62"/>
      <c r="N279" s="62"/>
      <c r="O279" s="62"/>
      <c r="P279" s="62"/>
    </row>
    <row r="280" spans="6:16" ht="15.75" customHeight="1" x14ac:dyDescent="0.2">
      <c r="F280" s="62"/>
      <c r="N280" s="62"/>
      <c r="O280" s="62"/>
      <c r="P280" s="62"/>
    </row>
    <row r="281" spans="6:16" ht="15.75" customHeight="1" x14ac:dyDescent="0.2">
      <c r="F281" s="62"/>
      <c r="N281" s="62"/>
      <c r="O281" s="62"/>
      <c r="P281" s="62"/>
    </row>
    <row r="282" spans="6:16" ht="15.75" customHeight="1" x14ac:dyDescent="0.2">
      <c r="F282" s="62"/>
      <c r="N282" s="62"/>
      <c r="O282" s="62"/>
      <c r="P282" s="62"/>
    </row>
    <row r="283" spans="6:16" ht="15.75" customHeight="1" x14ac:dyDescent="0.2">
      <c r="F283" s="62"/>
      <c r="N283" s="62"/>
      <c r="O283" s="62"/>
      <c r="P283" s="62"/>
    </row>
    <row r="284" spans="6:16" ht="15.75" customHeight="1" x14ac:dyDescent="0.2">
      <c r="F284" s="62"/>
      <c r="N284" s="62"/>
      <c r="O284" s="62"/>
      <c r="P284" s="62"/>
    </row>
    <row r="285" spans="6:16" ht="15.75" customHeight="1" x14ac:dyDescent="0.2">
      <c r="F285" s="62"/>
      <c r="N285" s="62"/>
      <c r="O285" s="62"/>
      <c r="P285" s="62"/>
    </row>
    <row r="286" spans="6:16" ht="15.75" customHeight="1" x14ac:dyDescent="0.2">
      <c r="F286" s="62"/>
      <c r="N286" s="62"/>
      <c r="O286" s="62"/>
      <c r="P286" s="62"/>
    </row>
    <row r="287" spans="6:16" ht="15.75" customHeight="1" x14ac:dyDescent="0.2">
      <c r="F287" s="62"/>
      <c r="N287" s="62"/>
      <c r="O287" s="62"/>
      <c r="P287" s="62"/>
    </row>
    <row r="288" spans="6:16" ht="15.75" customHeight="1" x14ac:dyDescent="0.2">
      <c r="F288" s="62"/>
      <c r="N288" s="62"/>
      <c r="O288" s="62"/>
      <c r="P288" s="62"/>
    </row>
    <row r="289" spans="6:16" ht="15.75" customHeight="1" x14ac:dyDescent="0.2">
      <c r="F289" s="62"/>
      <c r="N289" s="62"/>
      <c r="O289" s="62"/>
      <c r="P289" s="62"/>
    </row>
    <row r="290" spans="6:16" ht="15.75" customHeight="1" x14ac:dyDescent="0.2">
      <c r="F290" s="62"/>
      <c r="N290" s="62"/>
      <c r="O290" s="62"/>
      <c r="P290" s="62"/>
    </row>
    <row r="291" spans="6:16" ht="15.75" customHeight="1" x14ac:dyDescent="0.2">
      <c r="F291" s="62"/>
      <c r="N291" s="62"/>
      <c r="O291" s="62"/>
      <c r="P291" s="62"/>
    </row>
    <row r="292" spans="6:16" ht="15.75" customHeight="1" x14ac:dyDescent="0.2">
      <c r="F292" s="62"/>
      <c r="N292" s="62"/>
      <c r="O292" s="62"/>
      <c r="P292" s="62"/>
    </row>
    <row r="293" spans="6:16" ht="15.75" customHeight="1" x14ac:dyDescent="0.2">
      <c r="F293" s="62"/>
      <c r="N293" s="62"/>
      <c r="O293" s="62"/>
      <c r="P293" s="62"/>
    </row>
    <row r="294" spans="6:16" ht="15.75" customHeight="1" x14ac:dyDescent="0.2">
      <c r="F294" s="62"/>
      <c r="N294" s="62"/>
      <c r="O294" s="62"/>
      <c r="P294" s="62"/>
    </row>
    <row r="295" spans="6:16" ht="15.75" customHeight="1" x14ac:dyDescent="0.2">
      <c r="F295" s="62"/>
      <c r="N295" s="62"/>
      <c r="O295" s="62"/>
      <c r="P295" s="62"/>
    </row>
    <row r="296" spans="6:16" ht="15.75" customHeight="1" x14ac:dyDescent="0.2">
      <c r="F296" s="62"/>
      <c r="N296" s="62"/>
      <c r="O296" s="62"/>
      <c r="P296" s="62"/>
    </row>
    <row r="297" spans="6:16" ht="15.75" customHeight="1" x14ac:dyDescent="0.2">
      <c r="F297" s="62"/>
      <c r="N297" s="62"/>
      <c r="O297" s="62"/>
      <c r="P297" s="62"/>
    </row>
    <row r="298" spans="6:16" ht="15.75" customHeight="1" x14ac:dyDescent="0.2">
      <c r="F298" s="62"/>
      <c r="N298" s="62"/>
      <c r="O298" s="62"/>
      <c r="P298" s="62"/>
    </row>
    <row r="299" spans="6:16" ht="15.75" customHeight="1" x14ac:dyDescent="0.2">
      <c r="F299" s="62"/>
      <c r="N299" s="62"/>
      <c r="O299" s="62"/>
      <c r="P299" s="62"/>
    </row>
    <row r="300" spans="6:16" ht="15.75" customHeight="1" x14ac:dyDescent="0.2">
      <c r="F300" s="62"/>
      <c r="N300" s="62"/>
      <c r="O300" s="62"/>
      <c r="P300" s="62"/>
    </row>
    <row r="301" spans="6:16" ht="15.75" customHeight="1" x14ac:dyDescent="0.2">
      <c r="F301" s="62"/>
      <c r="N301" s="62"/>
      <c r="O301" s="62"/>
      <c r="P301" s="62"/>
    </row>
    <row r="302" spans="6:16" ht="15.75" customHeight="1" x14ac:dyDescent="0.2">
      <c r="F302" s="62"/>
      <c r="N302" s="62"/>
      <c r="O302" s="62"/>
      <c r="P302" s="62"/>
    </row>
    <row r="303" spans="6:16" ht="15.75" customHeight="1" x14ac:dyDescent="0.2">
      <c r="F303" s="62"/>
      <c r="N303" s="62"/>
      <c r="O303" s="62"/>
      <c r="P303" s="62"/>
    </row>
    <row r="304" spans="6:16" ht="15.75" customHeight="1" x14ac:dyDescent="0.2">
      <c r="F304" s="62"/>
      <c r="N304" s="62"/>
      <c r="O304" s="62"/>
      <c r="P304" s="62"/>
    </row>
    <row r="305" spans="6:16" ht="15.75" customHeight="1" x14ac:dyDescent="0.2">
      <c r="F305" s="62"/>
      <c r="N305" s="62"/>
      <c r="O305" s="62"/>
      <c r="P305" s="62"/>
    </row>
    <row r="306" spans="6:16" ht="15.75" customHeight="1" x14ac:dyDescent="0.2">
      <c r="F306" s="62"/>
      <c r="N306" s="62"/>
      <c r="O306" s="62"/>
      <c r="P306" s="62"/>
    </row>
    <row r="307" spans="6:16" ht="15.75" customHeight="1" x14ac:dyDescent="0.2">
      <c r="F307" s="62"/>
      <c r="N307" s="62"/>
      <c r="O307" s="62"/>
      <c r="P307" s="62"/>
    </row>
    <row r="308" spans="6:16" ht="15.75" customHeight="1" x14ac:dyDescent="0.2">
      <c r="F308" s="62"/>
      <c r="N308" s="62"/>
      <c r="O308" s="62"/>
      <c r="P308" s="62"/>
    </row>
    <row r="309" spans="6:16" ht="15.75" customHeight="1" x14ac:dyDescent="0.2">
      <c r="F309" s="62"/>
      <c r="N309" s="62"/>
      <c r="O309" s="62"/>
      <c r="P309" s="62"/>
    </row>
    <row r="310" spans="6:16" ht="15.75" customHeight="1" x14ac:dyDescent="0.2">
      <c r="F310" s="62"/>
      <c r="N310" s="62"/>
      <c r="O310" s="62"/>
      <c r="P310" s="62"/>
    </row>
    <row r="311" spans="6:16" ht="15.75" customHeight="1" x14ac:dyDescent="0.2">
      <c r="F311" s="62"/>
      <c r="N311" s="62"/>
      <c r="O311" s="62"/>
      <c r="P311" s="62"/>
    </row>
    <row r="312" spans="6:16" ht="15.75" customHeight="1" x14ac:dyDescent="0.2">
      <c r="F312" s="62"/>
      <c r="N312" s="62"/>
      <c r="O312" s="62"/>
      <c r="P312" s="62"/>
    </row>
    <row r="313" spans="6:16" ht="15.75" customHeight="1" x14ac:dyDescent="0.2">
      <c r="F313" s="62"/>
      <c r="N313" s="62"/>
      <c r="O313" s="62"/>
      <c r="P313" s="62"/>
    </row>
    <row r="314" spans="6:16" ht="15.75" customHeight="1" x14ac:dyDescent="0.2">
      <c r="F314" s="62"/>
      <c r="N314" s="62"/>
      <c r="O314" s="62"/>
      <c r="P314" s="62"/>
    </row>
    <row r="315" spans="6:16" ht="15.75" customHeight="1" x14ac:dyDescent="0.2">
      <c r="F315" s="62"/>
      <c r="N315" s="62"/>
      <c r="O315" s="62"/>
      <c r="P315" s="62"/>
    </row>
    <row r="316" spans="6:16" ht="15.75" customHeight="1" x14ac:dyDescent="0.2">
      <c r="F316" s="62"/>
      <c r="N316" s="62"/>
      <c r="O316" s="62"/>
      <c r="P316" s="62"/>
    </row>
    <row r="317" spans="6:16" ht="15.75" customHeight="1" x14ac:dyDescent="0.2">
      <c r="F317" s="62"/>
      <c r="N317" s="62"/>
      <c r="O317" s="62"/>
      <c r="P317" s="62"/>
    </row>
    <row r="318" spans="6:16" ht="15.75" customHeight="1" x14ac:dyDescent="0.2">
      <c r="F318" s="62"/>
      <c r="N318" s="62"/>
      <c r="O318" s="62"/>
      <c r="P318" s="62"/>
    </row>
    <row r="319" spans="6:16" ht="15.75" customHeight="1" x14ac:dyDescent="0.2">
      <c r="F319" s="62"/>
      <c r="N319" s="62"/>
      <c r="O319" s="62"/>
      <c r="P319" s="62"/>
    </row>
    <row r="320" spans="6:16" ht="15.75" customHeight="1" x14ac:dyDescent="0.2">
      <c r="F320" s="62"/>
      <c r="N320" s="62"/>
      <c r="O320" s="62"/>
      <c r="P320" s="62"/>
    </row>
    <row r="321" spans="6:16" ht="15.75" customHeight="1" x14ac:dyDescent="0.2">
      <c r="F321" s="62"/>
      <c r="N321" s="62"/>
      <c r="O321" s="62"/>
      <c r="P321" s="62"/>
    </row>
    <row r="322" spans="6:16" ht="15.75" customHeight="1" x14ac:dyDescent="0.2">
      <c r="F322" s="62"/>
      <c r="N322" s="62"/>
      <c r="O322" s="62"/>
      <c r="P322" s="62"/>
    </row>
    <row r="323" spans="6:16" ht="15.75" customHeight="1" x14ac:dyDescent="0.2">
      <c r="F323" s="62"/>
      <c r="N323" s="62"/>
      <c r="O323" s="62"/>
      <c r="P323" s="62"/>
    </row>
    <row r="324" spans="6:16" ht="15.75" customHeight="1" x14ac:dyDescent="0.2">
      <c r="F324" s="62"/>
      <c r="N324" s="62"/>
      <c r="O324" s="62"/>
      <c r="P324" s="62"/>
    </row>
    <row r="325" spans="6:16" ht="15.75" customHeight="1" x14ac:dyDescent="0.2">
      <c r="F325" s="62"/>
      <c r="N325" s="62"/>
      <c r="O325" s="62"/>
      <c r="P325" s="62"/>
    </row>
    <row r="326" spans="6:16" ht="15.75" customHeight="1" x14ac:dyDescent="0.2">
      <c r="F326" s="62"/>
      <c r="N326" s="62"/>
      <c r="O326" s="62"/>
      <c r="P326" s="62"/>
    </row>
    <row r="327" spans="6:16" ht="15.75" customHeight="1" x14ac:dyDescent="0.2">
      <c r="F327" s="62"/>
      <c r="N327" s="62"/>
      <c r="O327" s="62"/>
      <c r="P327" s="62"/>
    </row>
    <row r="328" spans="6:16" ht="15.75" customHeight="1" x14ac:dyDescent="0.2">
      <c r="F328" s="62"/>
      <c r="N328" s="62"/>
      <c r="O328" s="62"/>
      <c r="P328" s="62"/>
    </row>
    <row r="329" spans="6:16" ht="15.75" customHeight="1" x14ac:dyDescent="0.2">
      <c r="F329" s="62"/>
      <c r="N329" s="62"/>
      <c r="O329" s="62"/>
      <c r="P329" s="62"/>
    </row>
    <row r="330" spans="6:16" ht="15.75" customHeight="1" x14ac:dyDescent="0.2">
      <c r="F330" s="62"/>
      <c r="N330" s="62"/>
      <c r="O330" s="62"/>
      <c r="P330" s="62"/>
    </row>
    <row r="331" spans="6:16" ht="15.75" customHeight="1" x14ac:dyDescent="0.2">
      <c r="F331" s="62"/>
      <c r="N331" s="62"/>
      <c r="O331" s="62"/>
      <c r="P331" s="62"/>
    </row>
    <row r="332" spans="6:16" ht="15.75" customHeight="1" x14ac:dyDescent="0.2">
      <c r="F332" s="62"/>
      <c r="N332" s="62"/>
      <c r="O332" s="62"/>
      <c r="P332" s="62"/>
    </row>
    <row r="333" spans="6:16" ht="15.75" customHeight="1" x14ac:dyDescent="0.2">
      <c r="F333" s="62"/>
      <c r="N333" s="62"/>
      <c r="O333" s="62"/>
      <c r="P333" s="62"/>
    </row>
    <row r="334" spans="6:16" ht="15.75" customHeight="1" x14ac:dyDescent="0.2">
      <c r="F334" s="62"/>
      <c r="N334" s="62"/>
      <c r="O334" s="62"/>
      <c r="P334" s="62"/>
    </row>
    <row r="335" spans="6:16" ht="15.75" customHeight="1" x14ac:dyDescent="0.2">
      <c r="F335" s="62"/>
      <c r="N335" s="62"/>
      <c r="O335" s="62"/>
      <c r="P335" s="62"/>
    </row>
    <row r="336" spans="6:16" ht="15.75" customHeight="1" x14ac:dyDescent="0.2">
      <c r="F336" s="62"/>
      <c r="N336" s="62"/>
      <c r="O336" s="62"/>
      <c r="P336" s="62"/>
    </row>
    <row r="337" spans="6:16" ht="15.75" customHeight="1" x14ac:dyDescent="0.2">
      <c r="F337" s="62"/>
      <c r="N337" s="62"/>
      <c r="O337" s="62"/>
      <c r="P337" s="62"/>
    </row>
    <row r="338" spans="6:16" ht="15.75" customHeight="1" x14ac:dyDescent="0.2">
      <c r="F338" s="62"/>
      <c r="N338" s="62"/>
      <c r="O338" s="62"/>
      <c r="P338" s="62"/>
    </row>
    <row r="339" spans="6:16" ht="15.75" customHeight="1" x14ac:dyDescent="0.2">
      <c r="F339" s="62"/>
      <c r="N339" s="62"/>
      <c r="O339" s="62"/>
      <c r="P339" s="62"/>
    </row>
    <row r="340" spans="6:16" ht="15.75" customHeight="1" x14ac:dyDescent="0.2">
      <c r="F340" s="62"/>
      <c r="N340" s="62"/>
      <c r="O340" s="62"/>
      <c r="P340" s="62"/>
    </row>
    <row r="341" spans="6:16" ht="15.75" customHeight="1" x14ac:dyDescent="0.2">
      <c r="F341" s="62"/>
      <c r="N341" s="62"/>
      <c r="O341" s="62"/>
      <c r="P341" s="62"/>
    </row>
    <row r="342" spans="6:16" ht="15.75" customHeight="1" x14ac:dyDescent="0.2">
      <c r="F342" s="62"/>
      <c r="N342" s="62"/>
      <c r="O342" s="62"/>
      <c r="P342" s="62"/>
    </row>
    <row r="343" spans="6:16" ht="15.75" customHeight="1" x14ac:dyDescent="0.2">
      <c r="F343" s="62"/>
      <c r="N343" s="62"/>
      <c r="O343" s="62"/>
      <c r="P343" s="62"/>
    </row>
    <row r="344" spans="6:16" ht="15.75" customHeight="1" x14ac:dyDescent="0.2">
      <c r="F344" s="62"/>
      <c r="N344" s="62"/>
      <c r="O344" s="62"/>
      <c r="P344" s="62"/>
    </row>
    <row r="345" spans="6:16" ht="15.75" customHeight="1" x14ac:dyDescent="0.2">
      <c r="F345" s="62"/>
      <c r="N345" s="62"/>
      <c r="O345" s="62"/>
      <c r="P345" s="62"/>
    </row>
    <row r="346" spans="6:16" ht="15.75" customHeight="1" x14ac:dyDescent="0.2">
      <c r="F346" s="62"/>
      <c r="N346" s="62"/>
      <c r="O346" s="62"/>
      <c r="P346" s="62"/>
    </row>
    <row r="347" spans="6:16" ht="15.75" customHeight="1" x14ac:dyDescent="0.2">
      <c r="F347" s="62"/>
      <c r="N347" s="62"/>
      <c r="O347" s="62"/>
      <c r="P347" s="62"/>
    </row>
    <row r="348" spans="6:16" ht="15.75" customHeight="1" x14ac:dyDescent="0.2">
      <c r="F348" s="62"/>
      <c r="N348" s="62"/>
      <c r="O348" s="62"/>
      <c r="P348" s="62"/>
    </row>
    <row r="349" spans="6:16" ht="15.75" customHeight="1" x14ac:dyDescent="0.2">
      <c r="F349" s="62"/>
      <c r="N349" s="62"/>
      <c r="O349" s="62"/>
      <c r="P349" s="62"/>
    </row>
    <row r="350" spans="6:16" ht="15.75" customHeight="1" x14ac:dyDescent="0.2">
      <c r="F350" s="62"/>
      <c r="N350" s="62"/>
      <c r="O350" s="62"/>
      <c r="P350" s="62"/>
    </row>
    <row r="351" spans="6:16" ht="15.75" customHeight="1" x14ac:dyDescent="0.2">
      <c r="F351" s="62"/>
      <c r="N351" s="62"/>
      <c r="O351" s="62"/>
      <c r="P351" s="62"/>
    </row>
    <row r="352" spans="6:16" ht="15.75" customHeight="1" x14ac:dyDescent="0.2">
      <c r="F352" s="62"/>
      <c r="N352" s="62"/>
      <c r="O352" s="62"/>
      <c r="P352" s="62"/>
    </row>
    <row r="353" spans="6:16" ht="15.75" customHeight="1" x14ac:dyDescent="0.2">
      <c r="F353" s="62"/>
      <c r="N353" s="62"/>
      <c r="O353" s="62"/>
      <c r="P353" s="62"/>
    </row>
    <row r="354" spans="6:16" ht="15.75" customHeight="1" x14ac:dyDescent="0.2">
      <c r="F354" s="62"/>
      <c r="N354" s="62"/>
      <c r="O354" s="62"/>
      <c r="P354" s="62"/>
    </row>
    <row r="355" spans="6:16" ht="15.75" customHeight="1" x14ac:dyDescent="0.2">
      <c r="F355" s="62"/>
      <c r="N355" s="62"/>
      <c r="O355" s="62"/>
      <c r="P355" s="62"/>
    </row>
    <row r="356" spans="6:16" ht="15.75" customHeight="1" x14ac:dyDescent="0.2">
      <c r="F356" s="62"/>
      <c r="N356" s="62"/>
      <c r="O356" s="62"/>
      <c r="P356" s="62"/>
    </row>
    <row r="357" spans="6:16" ht="15.75" customHeight="1" x14ac:dyDescent="0.2">
      <c r="F357" s="62"/>
      <c r="N357" s="62"/>
      <c r="O357" s="62"/>
      <c r="P357" s="62"/>
    </row>
    <row r="358" spans="6:16" ht="15.75" customHeight="1" x14ac:dyDescent="0.2">
      <c r="F358" s="62"/>
      <c r="N358" s="62"/>
      <c r="O358" s="62"/>
      <c r="P358" s="62"/>
    </row>
    <row r="359" spans="6:16" ht="15.75" customHeight="1" x14ac:dyDescent="0.2">
      <c r="F359" s="62"/>
      <c r="N359" s="62"/>
      <c r="O359" s="62"/>
      <c r="P359" s="62"/>
    </row>
    <row r="360" spans="6:16" ht="15.75" customHeight="1" x14ac:dyDescent="0.2">
      <c r="F360" s="62"/>
      <c r="N360" s="62"/>
      <c r="O360" s="62"/>
      <c r="P360" s="62"/>
    </row>
    <row r="361" spans="6:16" ht="15.75" customHeight="1" x14ac:dyDescent="0.2">
      <c r="F361" s="62"/>
      <c r="N361" s="62"/>
      <c r="O361" s="62"/>
      <c r="P361" s="62"/>
    </row>
    <row r="362" spans="6:16" ht="15.75" customHeight="1" x14ac:dyDescent="0.2">
      <c r="F362" s="62"/>
      <c r="N362" s="62"/>
      <c r="O362" s="62"/>
      <c r="P362" s="62"/>
    </row>
    <row r="363" spans="6:16" ht="15.75" customHeight="1" x14ac:dyDescent="0.2">
      <c r="F363" s="62"/>
      <c r="N363" s="62"/>
      <c r="O363" s="62"/>
      <c r="P363" s="62"/>
    </row>
    <row r="364" spans="6:16" ht="15.75" customHeight="1" x14ac:dyDescent="0.2">
      <c r="F364" s="62"/>
      <c r="N364" s="62"/>
      <c r="O364" s="62"/>
      <c r="P364" s="62"/>
    </row>
    <row r="365" spans="6:16" ht="15.75" customHeight="1" x14ac:dyDescent="0.2">
      <c r="F365" s="62"/>
      <c r="N365" s="62"/>
      <c r="O365" s="62"/>
      <c r="P365" s="62"/>
    </row>
    <row r="366" spans="6:16" ht="15.75" customHeight="1" x14ac:dyDescent="0.2">
      <c r="F366" s="62"/>
      <c r="N366" s="62"/>
      <c r="O366" s="62"/>
      <c r="P366" s="62"/>
    </row>
    <row r="367" spans="6:16" ht="15.75" customHeight="1" x14ac:dyDescent="0.2">
      <c r="F367" s="62"/>
      <c r="N367" s="62"/>
      <c r="O367" s="62"/>
      <c r="P367" s="62"/>
    </row>
    <row r="368" spans="6:16" ht="15.75" customHeight="1" x14ac:dyDescent="0.2">
      <c r="F368" s="62"/>
      <c r="N368" s="62"/>
      <c r="O368" s="62"/>
      <c r="P368" s="62"/>
    </row>
    <row r="369" spans="6:16" ht="15.75" customHeight="1" x14ac:dyDescent="0.2">
      <c r="F369" s="62"/>
      <c r="N369" s="62"/>
      <c r="O369" s="62"/>
      <c r="P369" s="62"/>
    </row>
    <row r="370" spans="6:16" ht="15.75" customHeight="1" x14ac:dyDescent="0.2">
      <c r="F370" s="62"/>
      <c r="N370" s="62"/>
      <c r="O370" s="62"/>
      <c r="P370" s="62"/>
    </row>
    <row r="371" spans="6:16" ht="15.75" customHeight="1" x14ac:dyDescent="0.2">
      <c r="F371" s="62"/>
      <c r="N371" s="62"/>
      <c r="O371" s="62"/>
      <c r="P371" s="62"/>
    </row>
    <row r="372" spans="6:16" ht="15.75" customHeight="1" x14ac:dyDescent="0.2">
      <c r="F372" s="62"/>
      <c r="N372" s="62"/>
      <c r="O372" s="62"/>
      <c r="P372" s="62"/>
    </row>
    <row r="373" spans="6:16" ht="15.75" customHeight="1" x14ac:dyDescent="0.2">
      <c r="F373" s="62"/>
      <c r="N373" s="62"/>
      <c r="O373" s="62"/>
      <c r="P373" s="62"/>
    </row>
    <row r="374" spans="6:16" ht="15.75" customHeight="1" x14ac:dyDescent="0.2">
      <c r="F374" s="62"/>
      <c r="N374" s="62"/>
      <c r="O374" s="62"/>
      <c r="P374" s="62"/>
    </row>
    <row r="375" spans="6:16" ht="15.75" customHeight="1" x14ac:dyDescent="0.2">
      <c r="F375" s="62"/>
      <c r="N375" s="62"/>
      <c r="O375" s="62"/>
      <c r="P375" s="62"/>
    </row>
    <row r="376" spans="6:16" ht="15.75" customHeight="1" x14ac:dyDescent="0.2">
      <c r="F376" s="62"/>
      <c r="N376" s="62"/>
      <c r="O376" s="62"/>
      <c r="P376" s="62"/>
    </row>
    <row r="377" spans="6:16" ht="15.75" customHeight="1" x14ac:dyDescent="0.2">
      <c r="F377" s="62"/>
      <c r="N377" s="62"/>
      <c r="O377" s="62"/>
      <c r="P377" s="62"/>
    </row>
    <row r="378" spans="6:16" ht="15.75" customHeight="1" x14ac:dyDescent="0.2">
      <c r="F378" s="62"/>
      <c r="N378" s="62"/>
      <c r="O378" s="62"/>
      <c r="P378" s="62"/>
    </row>
    <row r="379" spans="6:16" ht="15.75" customHeight="1" x14ac:dyDescent="0.2">
      <c r="F379" s="62"/>
      <c r="N379" s="62"/>
      <c r="O379" s="62"/>
      <c r="P379" s="62"/>
    </row>
    <row r="380" spans="6:16" ht="15.75" customHeight="1" x14ac:dyDescent="0.2">
      <c r="F380" s="62"/>
      <c r="N380" s="62"/>
      <c r="O380" s="62"/>
      <c r="P380" s="62"/>
    </row>
    <row r="381" spans="6:16" ht="15.75" customHeight="1" x14ac:dyDescent="0.2">
      <c r="F381" s="62"/>
      <c r="N381" s="62"/>
      <c r="O381" s="62"/>
      <c r="P381" s="62"/>
    </row>
    <row r="382" spans="6:16" ht="15.75" customHeight="1" x14ac:dyDescent="0.2">
      <c r="F382" s="62"/>
      <c r="N382" s="62"/>
      <c r="O382" s="62"/>
      <c r="P382" s="62"/>
    </row>
    <row r="383" spans="6:16" ht="15.75" customHeight="1" x14ac:dyDescent="0.2">
      <c r="F383" s="62"/>
      <c r="N383" s="62"/>
      <c r="O383" s="62"/>
      <c r="P383" s="62"/>
    </row>
    <row r="384" spans="6:16" ht="15.75" customHeight="1" x14ac:dyDescent="0.2">
      <c r="F384" s="62"/>
      <c r="N384" s="62"/>
      <c r="O384" s="62"/>
      <c r="P384" s="62"/>
    </row>
    <row r="385" spans="6:16" ht="15.75" customHeight="1" x14ac:dyDescent="0.2">
      <c r="F385" s="62"/>
      <c r="N385" s="62"/>
      <c r="O385" s="62"/>
      <c r="P385" s="62"/>
    </row>
    <row r="386" spans="6:16" ht="15.75" customHeight="1" x14ac:dyDescent="0.2">
      <c r="F386" s="62"/>
      <c r="N386" s="62"/>
      <c r="O386" s="62"/>
      <c r="P386" s="62"/>
    </row>
    <row r="387" spans="6:16" ht="15.75" customHeight="1" x14ac:dyDescent="0.2">
      <c r="F387" s="62"/>
      <c r="N387" s="62"/>
      <c r="O387" s="62"/>
      <c r="P387" s="62"/>
    </row>
    <row r="388" spans="6:16" ht="15.75" customHeight="1" x14ac:dyDescent="0.2">
      <c r="F388" s="62"/>
      <c r="N388" s="62"/>
      <c r="O388" s="62"/>
      <c r="P388" s="62"/>
    </row>
    <row r="389" spans="6:16" ht="15.75" customHeight="1" x14ac:dyDescent="0.2">
      <c r="F389" s="62"/>
      <c r="N389" s="62"/>
      <c r="O389" s="62"/>
      <c r="P389" s="62"/>
    </row>
    <row r="390" spans="6:16" ht="15.75" customHeight="1" x14ac:dyDescent="0.2">
      <c r="F390" s="62"/>
      <c r="N390" s="62"/>
      <c r="O390" s="62"/>
      <c r="P390" s="62"/>
    </row>
    <row r="391" spans="6:16" ht="15.75" customHeight="1" x14ac:dyDescent="0.2">
      <c r="F391" s="62"/>
      <c r="N391" s="62"/>
      <c r="O391" s="62"/>
      <c r="P391" s="62"/>
    </row>
    <row r="392" spans="6:16" ht="15.75" customHeight="1" x14ac:dyDescent="0.2">
      <c r="F392" s="62"/>
      <c r="N392" s="62"/>
      <c r="O392" s="62"/>
      <c r="P392" s="62"/>
    </row>
    <row r="393" spans="6:16" ht="15.75" customHeight="1" x14ac:dyDescent="0.2">
      <c r="F393" s="62"/>
      <c r="N393" s="62"/>
      <c r="O393" s="62"/>
      <c r="P393" s="62"/>
    </row>
    <row r="394" spans="6:16" ht="15.75" customHeight="1" x14ac:dyDescent="0.2">
      <c r="F394" s="62"/>
      <c r="N394" s="62"/>
      <c r="O394" s="62"/>
      <c r="P394" s="62"/>
    </row>
    <row r="395" spans="6:16" ht="15.75" customHeight="1" x14ac:dyDescent="0.2">
      <c r="F395" s="62"/>
      <c r="N395" s="62"/>
      <c r="O395" s="62"/>
      <c r="P395" s="62"/>
    </row>
    <row r="396" spans="6:16" ht="15.75" customHeight="1" x14ac:dyDescent="0.2">
      <c r="F396" s="62"/>
      <c r="N396" s="62"/>
      <c r="O396" s="62"/>
      <c r="P396" s="62"/>
    </row>
    <row r="397" spans="6:16" ht="15.75" customHeight="1" x14ac:dyDescent="0.2">
      <c r="F397" s="62"/>
      <c r="N397" s="62"/>
      <c r="O397" s="62"/>
      <c r="P397" s="62"/>
    </row>
    <row r="398" spans="6:16" ht="15.75" customHeight="1" x14ac:dyDescent="0.2">
      <c r="F398" s="62"/>
      <c r="N398" s="62"/>
      <c r="O398" s="62"/>
      <c r="P398" s="62"/>
    </row>
    <row r="399" spans="6:16" ht="15.75" customHeight="1" x14ac:dyDescent="0.2">
      <c r="F399" s="62"/>
      <c r="N399" s="62"/>
      <c r="O399" s="62"/>
      <c r="P399" s="62"/>
    </row>
    <row r="400" spans="6:16" ht="15.75" customHeight="1" x14ac:dyDescent="0.2">
      <c r="F400" s="62"/>
      <c r="N400" s="62"/>
      <c r="O400" s="62"/>
      <c r="P400" s="62"/>
    </row>
    <row r="401" spans="6:16" ht="15.75" customHeight="1" x14ac:dyDescent="0.2">
      <c r="F401" s="62"/>
      <c r="N401" s="62"/>
      <c r="O401" s="62"/>
      <c r="P401" s="62"/>
    </row>
    <row r="402" spans="6:16" ht="15.75" customHeight="1" x14ac:dyDescent="0.2">
      <c r="F402" s="62"/>
      <c r="N402" s="62"/>
      <c r="O402" s="62"/>
      <c r="P402" s="62"/>
    </row>
    <row r="403" spans="6:16" ht="15.75" customHeight="1" x14ac:dyDescent="0.2">
      <c r="F403" s="62"/>
      <c r="N403" s="62"/>
      <c r="O403" s="62"/>
      <c r="P403" s="62"/>
    </row>
    <row r="404" spans="6:16" ht="15.75" customHeight="1" x14ac:dyDescent="0.2">
      <c r="F404" s="62"/>
      <c r="N404" s="62"/>
      <c r="O404" s="62"/>
      <c r="P404" s="62"/>
    </row>
    <row r="405" spans="6:16" ht="15.75" customHeight="1" x14ac:dyDescent="0.2">
      <c r="F405" s="62"/>
      <c r="N405" s="62"/>
      <c r="O405" s="62"/>
      <c r="P405" s="62"/>
    </row>
    <row r="406" spans="6:16" ht="15.75" customHeight="1" x14ac:dyDescent="0.2">
      <c r="F406" s="62"/>
      <c r="N406" s="62"/>
      <c r="O406" s="62"/>
      <c r="P406" s="62"/>
    </row>
    <row r="407" spans="6:16" ht="15.75" customHeight="1" x14ac:dyDescent="0.2">
      <c r="F407" s="62"/>
      <c r="N407" s="62"/>
      <c r="O407" s="62"/>
      <c r="P407" s="62"/>
    </row>
    <row r="408" spans="6:16" ht="15.75" customHeight="1" x14ac:dyDescent="0.2">
      <c r="F408" s="62"/>
      <c r="N408" s="62"/>
      <c r="O408" s="62"/>
      <c r="P408" s="62"/>
    </row>
    <row r="409" spans="6:16" ht="15.75" customHeight="1" x14ac:dyDescent="0.2">
      <c r="F409" s="62"/>
      <c r="N409" s="62"/>
      <c r="O409" s="62"/>
      <c r="P409" s="62"/>
    </row>
    <row r="410" spans="6:16" ht="15.75" customHeight="1" x14ac:dyDescent="0.2">
      <c r="F410" s="62"/>
      <c r="N410" s="62"/>
      <c r="O410" s="62"/>
      <c r="P410" s="62"/>
    </row>
    <row r="411" spans="6:16" ht="15.75" customHeight="1" x14ac:dyDescent="0.2">
      <c r="F411" s="62"/>
      <c r="N411" s="62"/>
      <c r="O411" s="62"/>
      <c r="P411" s="62"/>
    </row>
    <row r="412" spans="6:16" ht="15.75" customHeight="1" x14ac:dyDescent="0.2">
      <c r="F412" s="62"/>
      <c r="N412" s="62"/>
      <c r="O412" s="62"/>
      <c r="P412" s="62"/>
    </row>
    <row r="413" spans="6:16" ht="15.75" customHeight="1" x14ac:dyDescent="0.2">
      <c r="F413" s="62"/>
      <c r="N413" s="62"/>
      <c r="O413" s="62"/>
      <c r="P413" s="62"/>
    </row>
    <row r="414" spans="6:16" ht="15.75" customHeight="1" x14ac:dyDescent="0.2">
      <c r="F414" s="62"/>
      <c r="N414" s="62"/>
      <c r="O414" s="62"/>
      <c r="P414" s="62"/>
    </row>
    <row r="415" spans="6:16" ht="15.75" customHeight="1" x14ac:dyDescent="0.2">
      <c r="F415" s="62"/>
      <c r="N415" s="62"/>
      <c r="O415" s="62"/>
      <c r="P415" s="62"/>
    </row>
    <row r="416" spans="6:16" ht="15.75" customHeight="1" x14ac:dyDescent="0.2">
      <c r="F416" s="62"/>
      <c r="N416" s="62"/>
      <c r="O416" s="62"/>
      <c r="P416" s="62"/>
    </row>
    <row r="417" spans="6:16" ht="15.75" customHeight="1" x14ac:dyDescent="0.2">
      <c r="F417" s="62"/>
      <c r="N417" s="62"/>
      <c r="O417" s="62"/>
      <c r="P417" s="62"/>
    </row>
    <row r="418" spans="6:16" ht="15.75" customHeight="1" x14ac:dyDescent="0.2">
      <c r="F418" s="62"/>
      <c r="N418" s="62"/>
      <c r="O418" s="62"/>
      <c r="P418" s="62"/>
    </row>
    <row r="419" spans="6:16" ht="15.75" customHeight="1" x14ac:dyDescent="0.2">
      <c r="F419" s="62"/>
      <c r="N419" s="62"/>
      <c r="O419" s="62"/>
      <c r="P419" s="62"/>
    </row>
    <row r="420" spans="6:16" ht="15.75" customHeight="1" x14ac:dyDescent="0.2">
      <c r="F420" s="62"/>
      <c r="N420" s="62"/>
      <c r="O420" s="62"/>
      <c r="P420" s="62"/>
    </row>
    <row r="421" spans="6:16" ht="15.75" customHeight="1" x14ac:dyDescent="0.2">
      <c r="F421" s="62"/>
      <c r="N421" s="62"/>
      <c r="O421" s="62"/>
      <c r="P421" s="62"/>
    </row>
    <row r="422" spans="6:16" ht="15.75" customHeight="1" x14ac:dyDescent="0.2">
      <c r="F422" s="62"/>
      <c r="N422" s="62"/>
      <c r="O422" s="62"/>
      <c r="P422" s="62"/>
    </row>
    <row r="423" spans="6:16" ht="15.75" customHeight="1" x14ac:dyDescent="0.2">
      <c r="F423" s="62"/>
      <c r="N423" s="62"/>
      <c r="O423" s="62"/>
      <c r="P423" s="62"/>
    </row>
    <row r="424" spans="6:16" ht="15.75" customHeight="1" x14ac:dyDescent="0.2">
      <c r="F424" s="62"/>
      <c r="N424" s="62"/>
      <c r="O424" s="62"/>
      <c r="P424" s="62"/>
    </row>
    <row r="425" spans="6:16" ht="15.75" customHeight="1" x14ac:dyDescent="0.2">
      <c r="F425" s="62"/>
      <c r="N425" s="62"/>
      <c r="O425" s="62"/>
      <c r="P425" s="62"/>
    </row>
    <row r="426" spans="6:16" ht="15.75" customHeight="1" x14ac:dyDescent="0.2">
      <c r="F426" s="62"/>
      <c r="N426" s="62"/>
      <c r="O426" s="62"/>
      <c r="P426" s="62"/>
    </row>
    <row r="427" spans="6:16" ht="15.75" customHeight="1" x14ac:dyDescent="0.2">
      <c r="F427" s="62"/>
      <c r="N427" s="62"/>
      <c r="O427" s="62"/>
      <c r="P427" s="62"/>
    </row>
    <row r="428" spans="6:16" ht="15.75" customHeight="1" x14ac:dyDescent="0.2">
      <c r="F428" s="62"/>
      <c r="N428" s="62"/>
      <c r="O428" s="62"/>
      <c r="P428" s="62"/>
    </row>
    <row r="429" spans="6:16" ht="15.75" customHeight="1" x14ac:dyDescent="0.2">
      <c r="F429" s="62"/>
      <c r="N429" s="62"/>
      <c r="O429" s="62"/>
      <c r="P429" s="62"/>
    </row>
    <row r="430" spans="6:16" ht="15.75" customHeight="1" x14ac:dyDescent="0.2">
      <c r="F430" s="62"/>
      <c r="N430" s="62"/>
      <c r="O430" s="62"/>
      <c r="P430" s="62"/>
    </row>
    <row r="431" spans="6:16" ht="15.75" customHeight="1" x14ac:dyDescent="0.2">
      <c r="F431" s="62"/>
      <c r="N431" s="62"/>
      <c r="O431" s="62"/>
      <c r="P431" s="62"/>
    </row>
    <row r="432" spans="6:16" ht="15.75" customHeight="1" x14ac:dyDescent="0.2">
      <c r="F432" s="62"/>
      <c r="N432" s="62"/>
      <c r="O432" s="62"/>
      <c r="P432" s="62"/>
    </row>
    <row r="433" spans="6:16" ht="15.75" customHeight="1" x14ac:dyDescent="0.2">
      <c r="F433" s="62"/>
      <c r="N433" s="62"/>
      <c r="O433" s="62"/>
      <c r="P433" s="62"/>
    </row>
    <row r="434" spans="6:16" ht="15.75" customHeight="1" x14ac:dyDescent="0.2">
      <c r="F434" s="62"/>
      <c r="N434" s="62"/>
      <c r="O434" s="62"/>
      <c r="P434" s="62"/>
    </row>
    <row r="435" spans="6:16" ht="15.75" customHeight="1" x14ac:dyDescent="0.2">
      <c r="F435" s="62"/>
      <c r="N435" s="62"/>
      <c r="O435" s="62"/>
      <c r="P435" s="62"/>
    </row>
    <row r="436" spans="6:16" ht="15.75" customHeight="1" x14ac:dyDescent="0.2">
      <c r="F436" s="62"/>
      <c r="N436" s="62"/>
      <c r="O436" s="62"/>
      <c r="P436" s="62"/>
    </row>
    <row r="437" spans="6:16" ht="15.75" customHeight="1" x14ac:dyDescent="0.2">
      <c r="F437" s="62"/>
      <c r="N437" s="62"/>
      <c r="O437" s="62"/>
      <c r="P437" s="62"/>
    </row>
    <row r="438" spans="6:16" ht="15.75" customHeight="1" x14ac:dyDescent="0.2">
      <c r="F438" s="62"/>
      <c r="N438" s="62"/>
      <c r="O438" s="62"/>
      <c r="P438" s="62"/>
    </row>
    <row r="439" spans="6:16" ht="15.75" customHeight="1" x14ac:dyDescent="0.2">
      <c r="F439" s="62"/>
      <c r="N439" s="62"/>
      <c r="O439" s="62"/>
      <c r="P439" s="62"/>
    </row>
    <row r="440" spans="6:16" ht="15.75" customHeight="1" x14ac:dyDescent="0.2">
      <c r="F440" s="62"/>
      <c r="N440" s="62"/>
      <c r="O440" s="62"/>
      <c r="P440" s="62"/>
    </row>
    <row r="441" spans="6:16" ht="15.75" customHeight="1" x14ac:dyDescent="0.2">
      <c r="F441" s="62"/>
      <c r="N441" s="62"/>
      <c r="O441" s="62"/>
      <c r="P441" s="62"/>
    </row>
    <row r="442" spans="6:16" ht="15.75" customHeight="1" x14ac:dyDescent="0.2">
      <c r="F442" s="62"/>
      <c r="N442" s="62"/>
      <c r="O442" s="62"/>
      <c r="P442" s="62"/>
    </row>
    <row r="443" spans="6:16" ht="15.75" customHeight="1" x14ac:dyDescent="0.2">
      <c r="F443" s="62"/>
      <c r="N443" s="62"/>
      <c r="O443" s="62"/>
      <c r="P443" s="62"/>
    </row>
    <row r="444" spans="6:16" ht="15.75" customHeight="1" x14ac:dyDescent="0.2">
      <c r="F444" s="62"/>
      <c r="N444" s="62"/>
      <c r="O444" s="62"/>
      <c r="P444" s="62"/>
    </row>
    <row r="445" spans="6:16" ht="15.75" customHeight="1" x14ac:dyDescent="0.2">
      <c r="F445" s="62"/>
      <c r="N445" s="62"/>
      <c r="O445" s="62"/>
      <c r="P445" s="62"/>
    </row>
    <row r="446" spans="6:16" ht="15.75" customHeight="1" x14ac:dyDescent="0.2">
      <c r="F446" s="62"/>
      <c r="N446" s="62"/>
      <c r="O446" s="62"/>
      <c r="P446" s="62"/>
    </row>
    <row r="447" spans="6:16" ht="15.75" customHeight="1" x14ac:dyDescent="0.2">
      <c r="F447" s="62"/>
      <c r="N447" s="62"/>
      <c r="O447" s="62"/>
      <c r="P447" s="62"/>
    </row>
    <row r="448" spans="6:16" ht="15.75" customHeight="1" x14ac:dyDescent="0.2">
      <c r="F448" s="62"/>
      <c r="N448" s="62"/>
      <c r="O448" s="62"/>
      <c r="P448" s="62"/>
    </row>
    <row r="449" spans="6:16" ht="15.75" customHeight="1" x14ac:dyDescent="0.2">
      <c r="F449" s="62"/>
      <c r="N449" s="62"/>
      <c r="O449" s="62"/>
      <c r="P449" s="62"/>
    </row>
    <row r="450" spans="6:16" ht="15.75" customHeight="1" x14ac:dyDescent="0.2">
      <c r="F450" s="62"/>
      <c r="N450" s="62"/>
      <c r="O450" s="62"/>
      <c r="P450" s="62"/>
    </row>
    <row r="451" spans="6:16" ht="15.75" customHeight="1" x14ac:dyDescent="0.2">
      <c r="F451" s="62"/>
      <c r="N451" s="62"/>
      <c r="O451" s="62"/>
      <c r="P451" s="62"/>
    </row>
    <row r="452" spans="6:16" ht="15.75" customHeight="1" x14ac:dyDescent="0.2">
      <c r="F452" s="62"/>
      <c r="N452" s="62"/>
      <c r="O452" s="62"/>
      <c r="P452" s="62"/>
    </row>
    <row r="453" spans="6:16" ht="15.75" customHeight="1" x14ac:dyDescent="0.2">
      <c r="F453" s="62"/>
      <c r="N453" s="62"/>
      <c r="O453" s="62"/>
      <c r="P453" s="62"/>
    </row>
    <row r="454" spans="6:16" ht="15.75" customHeight="1" x14ac:dyDescent="0.2">
      <c r="F454" s="62"/>
      <c r="N454" s="62"/>
      <c r="O454" s="62"/>
      <c r="P454" s="62"/>
    </row>
    <row r="455" spans="6:16" ht="15.75" customHeight="1" x14ac:dyDescent="0.2">
      <c r="F455" s="62"/>
      <c r="N455" s="62"/>
      <c r="O455" s="62"/>
      <c r="P455" s="62"/>
    </row>
    <row r="456" spans="6:16" ht="15.75" customHeight="1" x14ac:dyDescent="0.2">
      <c r="F456" s="62"/>
      <c r="N456" s="62"/>
      <c r="O456" s="62"/>
      <c r="P456" s="62"/>
    </row>
    <row r="457" spans="6:16" ht="15.75" customHeight="1" x14ac:dyDescent="0.2">
      <c r="F457" s="62"/>
      <c r="N457" s="62"/>
      <c r="O457" s="62"/>
      <c r="P457" s="62"/>
    </row>
    <row r="458" spans="6:16" ht="15.75" customHeight="1" x14ac:dyDescent="0.2">
      <c r="F458" s="62"/>
      <c r="N458" s="62"/>
      <c r="O458" s="62"/>
      <c r="P458" s="62"/>
    </row>
    <row r="459" spans="6:16" ht="15.75" customHeight="1" x14ac:dyDescent="0.2">
      <c r="F459" s="62"/>
      <c r="N459" s="62"/>
      <c r="O459" s="62"/>
      <c r="P459" s="62"/>
    </row>
    <row r="460" spans="6:16" ht="15.75" customHeight="1" x14ac:dyDescent="0.2">
      <c r="F460" s="62"/>
      <c r="N460" s="62"/>
      <c r="O460" s="62"/>
      <c r="P460" s="62"/>
    </row>
    <row r="461" spans="6:16" ht="15.75" customHeight="1" x14ac:dyDescent="0.2">
      <c r="F461" s="62"/>
      <c r="N461" s="62"/>
      <c r="O461" s="62"/>
      <c r="P461" s="62"/>
    </row>
    <row r="462" spans="6:16" ht="15.75" customHeight="1" x14ac:dyDescent="0.2">
      <c r="F462" s="62"/>
      <c r="N462" s="62"/>
      <c r="O462" s="62"/>
      <c r="P462" s="62"/>
    </row>
    <row r="463" spans="6:16" ht="15.75" customHeight="1" x14ac:dyDescent="0.2">
      <c r="F463" s="62"/>
      <c r="N463" s="62"/>
      <c r="O463" s="62"/>
      <c r="P463" s="62"/>
    </row>
    <row r="464" spans="6:16" ht="15.75" customHeight="1" x14ac:dyDescent="0.2">
      <c r="F464" s="62"/>
      <c r="N464" s="62"/>
      <c r="O464" s="62"/>
      <c r="P464" s="62"/>
    </row>
    <row r="465" spans="6:16" ht="15.75" customHeight="1" x14ac:dyDescent="0.2">
      <c r="F465" s="62"/>
      <c r="N465" s="62"/>
      <c r="O465" s="62"/>
      <c r="P465" s="62"/>
    </row>
    <row r="466" spans="6:16" ht="15.75" customHeight="1" x14ac:dyDescent="0.2">
      <c r="F466" s="62"/>
      <c r="N466" s="62"/>
      <c r="O466" s="62"/>
      <c r="P466" s="62"/>
    </row>
    <row r="467" spans="6:16" ht="15.75" customHeight="1" x14ac:dyDescent="0.2">
      <c r="F467" s="62"/>
      <c r="N467" s="62"/>
      <c r="O467" s="62"/>
      <c r="P467" s="62"/>
    </row>
    <row r="468" spans="6:16" ht="15.75" customHeight="1" x14ac:dyDescent="0.2">
      <c r="F468" s="62"/>
      <c r="N468" s="62"/>
      <c r="O468" s="62"/>
      <c r="P468" s="62"/>
    </row>
    <row r="469" spans="6:16" ht="15.75" customHeight="1" x14ac:dyDescent="0.2">
      <c r="F469" s="62"/>
      <c r="N469" s="62"/>
      <c r="O469" s="62"/>
      <c r="P469" s="62"/>
    </row>
    <row r="470" spans="6:16" ht="15.75" customHeight="1" x14ac:dyDescent="0.2">
      <c r="F470" s="62"/>
      <c r="N470" s="62"/>
      <c r="O470" s="62"/>
      <c r="P470" s="62"/>
    </row>
    <row r="471" spans="6:16" ht="15.75" customHeight="1" x14ac:dyDescent="0.2">
      <c r="F471" s="62"/>
      <c r="N471" s="62"/>
      <c r="O471" s="62"/>
      <c r="P471" s="62"/>
    </row>
    <row r="472" spans="6:16" ht="15.75" customHeight="1" x14ac:dyDescent="0.2">
      <c r="F472" s="62"/>
      <c r="N472" s="62"/>
      <c r="O472" s="62"/>
      <c r="P472" s="62"/>
    </row>
    <row r="473" spans="6:16" ht="15.75" customHeight="1" x14ac:dyDescent="0.2">
      <c r="F473" s="62"/>
      <c r="N473" s="62"/>
      <c r="O473" s="62"/>
      <c r="P473" s="62"/>
    </row>
    <row r="474" spans="6:16" ht="15.75" customHeight="1" x14ac:dyDescent="0.2">
      <c r="F474" s="62"/>
      <c r="N474" s="62"/>
      <c r="O474" s="62"/>
      <c r="P474" s="62"/>
    </row>
    <row r="475" spans="6:16" ht="15.75" customHeight="1" x14ac:dyDescent="0.2">
      <c r="F475" s="62"/>
      <c r="N475" s="62"/>
      <c r="O475" s="62"/>
      <c r="P475" s="62"/>
    </row>
    <row r="476" spans="6:16" ht="15.75" customHeight="1" x14ac:dyDescent="0.2">
      <c r="F476" s="62"/>
      <c r="N476" s="62"/>
      <c r="O476" s="62"/>
      <c r="P476" s="62"/>
    </row>
    <row r="477" spans="6:16" ht="15.75" customHeight="1" x14ac:dyDescent="0.2">
      <c r="F477" s="62"/>
      <c r="N477" s="62"/>
      <c r="O477" s="62"/>
      <c r="P477" s="62"/>
    </row>
    <row r="478" spans="6:16" ht="15.75" customHeight="1" x14ac:dyDescent="0.2">
      <c r="F478" s="62"/>
      <c r="N478" s="62"/>
      <c r="O478" s="62"/>
      <c r="P478" s="62"/>
    </row>
    <row r="479" spans="6:16" ht="15.75" customHeight="1" x14ac:dyDescent="0.2">
      <c r="F479" s="62"/>
      <c r="N479" s="62"/>
      <c r="O479" s="62"/>
      <c r="P479" s="62"/>
    </row>
    <row r="480" spans="6:16" ht="15.75" customHeight="1" x14ac:dyDescent="0.2">
      <c r="F480" s="62"/>
      <c r="N480" s="62"/>
      <c r="O480" s="62"/>
      <c r="P480" s="62"/>
    </row>
    <row r="481" spans="6:16" ht="15.75" customHeight="1" x14ac:dyDescent="0.2">
      <c r="F481" s="62"/>
      <c r="N481" s="62"/>
      <c r="O481" s="62"/>
      <c r="P481" s="62"/>
    </row>
    <row r="482" spans="6:16" ht="15.75" customHeight="1" x14ac:dyDescent="0.2">
      <c r="F482" s="62"/>
      <c r="N482" s="62"/>
      <c r="O482" s="62"/>
      <c r="P482" s="62"/>
    </row>
    <row r="483" spans="6:16" ht="15.75" customHeight="1" x14ac:dyDescent="0.2">
      <c r="F483" s="62"/>
      <c r="N483" s="62"/>
      <c r="O483" s="62"/>
      <c r="P483" s="62"/>
    </row>
    <row r="484" spans="6:16" ht="15.75" customHeight="1" x14ac:dyDescent="0.2">
      <c r="F484" s="62"/>
      <c r="N484" s="62"/>
      <c r="O484" s="62"/>
      <c r="P484" s="62"/>
    </row>
    <row r="485" spans="6:16" ht="15.75" customHeight="1" x14ac:dyDescent="0.2">
      <c r="F485" s="62"/>
      <c r="N485" s="62"/>
      <c r="O485" s="62"/>
      <c r="P485" s="62"/>
    </row>
    <row r="486" spans="6:16" ht="15.75" customHeight="1" x14ac:dyDescent="0.2">
      <c r="F486" s="62"/>
      <c r="N486" s="62"/>
      <c r="O486" s="62"/>
      <c r="P486" s="62"/>
    </row>
    <row r="487" spans="6:16" ht="15.75" customHeight="1" x14ac:dyDescent="0.2">
      <c r="F487" s="62"/>
      <c r="N487" s="62"/>
      <c r="O487" s="62"/>
      <c r="P487" s="62"/>
    </row>
    <row r="488" spans="6:16" ht="15.75" customHeight="1" x14ac:dyDescent="0.2">
      <c r="F488" s="62"/>
      <c r="N488" s="62"/>
      <c r="O488" s="62"/>
      <c r="P488" s="62"/>
    </row>
    <row r="489" spans="6:16" ht="15.75" customHeight="1" x14ac:dyDescent="0.2">
      <c r="F489" s="62"/>
      <c r="N489" s="62"/>
      <c r="O489" s="62"/>
      <c r="P489" s="62"/>
    </row>
    <row r="490" spans="6:16" ht="15.75" customHeight="1" x14ac:dyDescent="0.2">
      <c r="F490" s="62"/>
      <c r="N490" s="62"/>
      <c r="O490" s="62"/>
      <c r="P490" s="62"/>
    </row>
    <row r="491" spans="6:16" ht="15.75" customHeight="1" x14ac:dyDescent="0.2">
      <c r="F491" s="62"/>
      <c r="N491" s="62"/>
      <c r="O491" s="62"/>
      <c r="P491" s="62"/>
    </row>
    <row r="492" spans="6:16" ht="15.75" customHeight="1" x14ac:dyDescent="0.2">
      <c r="F492" s="62"/>
      <c r="N492" s="62"/>
      <c r="O492" s="62"/>
      <c r="P492" s="62"/>
    </row>
    <row r="493" spans="6:16" ht="15.75" customHeight="1" x14ac:dyDescent="0.2">
      <c r="F493" s="62"/>
      <c r="N493" s="62"/>
      <c r="O493" s="62"/>
      <c r="P493" s="62"/>
    </row>
    <row r="494" spans="6:16" ht="15.75" customHeight="1" x14ac:dyDescent="0.2">
      <c r="F494" s="62"/>
      <c r="N494" s="62"/>
      <c r="O494" s="62"/>
      <c r="P494" s="62"/>
    </row>
    <row r="495" spans="6:16" ht="15.75" customHeight="1" x14ac:dyDescent="0.2">
      <c r="F495" s="62"/>
      <c r="N495" s="62"/>
      <c r="O495" s="62"/>
      <c r="P495" s="62"/>
    </row>
    <row r="496" spans="6:16" ht="15.75" customHeight="1" x14ac:dyDescent="0.2">
      <c r="F496" s="62"/>
      <c r="N496" s="62"/>
      <c r="O496" s="62"/>
      <c r="P496" s="62"/>
    </row>
    <row r="497" spans="6:16" ht="15.75" customHeight="1" x14ac:dyDescent="0.2">
      <c r="F497" s="62"/>
      <c r="N497" s="62"/>
      <c r="O497" s="62"/>
      <c r="P497" s="62"/>
    </row>
    <row r="498" spans="6:16" ht="15.75" customHeight="1" x14ac:dyDescent="0.2">
      <c r="F498" s="62"/>
      <c r="N498" s="62"/>
      <c r="O498" s="62"/>
      <c r="P498" s="62"/>
    </row>
    <row r="499" spans="6:16" ht="15.75" customHeight="1" x14ac:dyDescent="0.2">
      <c r="F499" s="62"/>
      <c r="N499" s="62"/>
      <c r="O499" s="62"/>
      <c r="P499" s="62"/>
    </row>
    <row r="500" spans="6:16" ht="15.75" customHeight="1" x14ac:dyDescent="0.2">
      <c r="F500" s="62"/>
      <c r="N500" s="62"/>
      <c r="O500" s="62"/>
      <c r="P500" s="62"/>
    </row>
    <row r="501" spans="6:16" ht="15.75" customHeight="1" x14ac:dyDescent="0.2">
      <c r="F501" s="62"/>
      <c r="N501" s="62"/>
      <c r="O501" s="62"/>
      <c r="P501" s="62"/>
    </row>
    <row r="502" spans="6:16" ht="15.75" customHeight="1" x14ac:dyDescent="0.2">
      <c r="F502" s="62"/>
      <c r="N502" s="62"/>
      <c r="O502" s="62"/>
      <c r="P502" s="62"/>
    </row>
    <row r="503" spans="6:16" ht="15.75" customHeight="1" x14ac:dyDescent="0.2">
      <c r="F503" s="62"/>
      <c r="N503" s="62"/>
      <c r="O503" s="62"/>
      <c r="P503" s="62"/>
    </row>
    <row r="504" spans="6:16" ht="15.75" customHeight="1" x14ac:dyDescent="0.2">
      <c r="F504" s="62"/>
      <c r="N504" s="62"/>
      <c r="O504" s="62"/>
      <c r="P504" s="62"/>
    </row>
    <row r="505" spans="6:16" ht="15.75" customHeight="1" x14ac:dyDescent="0.2">
      <c r="F505" s="62"/>
      <c r="N505" s="62"/>
      <c r="O505" s="62"/>
      <c r="P505" s="62"/>
    </row>
    <row r="506" spans="6:16" ht="15.75" customHeight="1" x14ac:dyDescent="0.2">
      <c r="F506" s="62"/>
      <c r="N506" s="62"/>
      <c r="O506" s="62"/>
      <c r="P506" s="62"/>
    </row>
    <row r="507" spans="6:16" ht="15.75" customHeight="1" x14ac:dyDescent="0.2">
      <c r="F507" s="62"/>
      <c r="N507" s="62"/>
      <c r="O507" s="62"/>
      <c r="P507" s="62"/>
    </row>
    <row r="508" spans="6:16" ht="15.75" customHeight="1" x14ac:dyDescent="0.2">
      <c r="F508" s="62"/>
      <c r="N508" s="62"/>
      <c r="O508" s="62"/>
      <c r="P508" s="62"/>
    </row>
    <row r="509" spans="6:16" ht="15.75" customHeight="1" x14ac:dyDescent="0.2">
      <c r="F509" s="62"/>
      <c r="N509" s="62"/>
      <c r="O509" s="62"/>
      <c r="P509" s="62"/>
    </row>
    <row r="510" spans="6:16" ht="15.75" customHeight="1" x14ac:dyDescent="0.2">
      <c r="F510" s="62"/>
      <c r="N510" s="62"/>
      <c r="O510" s="62"/>
      <c r="P510" s="62"/>
    </row>
    <row r="511" spans="6:16" ht="15.75" customHeight="1" x14ac:dyDescent="0.2">
      <c r="F511" s="62"/>
      <c r="N511" s="62"/>
      <c r="O511" s="62"/>
      <c r="P511" s="62"/>
    </row>
    <row r="512" spans="6:16" ht="15.75" customHeight="1" x14ac:dyDescent="0.2">
      <c r="F512" s="62"/>
      <c r="N512" s="62"/>
      <c r="O512" s="62"/>
      <c r="P512" s="62"/>
    </row>
    <row r="513" spans="6:16" ht="15.75" customHeight="1" x14ac:dyDescent="0.2">
      <c r="F513" s="62"/>
      <c r="N513" s="62"/>
      <c r="O513" s="62"/>
      <c r="P513" s="62"/>
    </row>
    <row r="514" spans="6:16" ht="15.75" customHeight="1" x14ac:dyDescent="0.2">
      <c r="F514" s="62"/>
      <c r="N514" s="62"/>
      <c r="O514" s="62"/>
      <c r="P514" s="62"/>
    </row>
    <row r="515" spans="6:16" ht="15.75" customHeight="1" x14ac:dyDescent="0.2">
      <c r="F515" s="62"/>
      <c r="N515" s="62"/>
      <c r="O515" s="62"/>
      <c r="P515" s="62"/>
    </row>
    <row r="516" spans="6:16" ht="15.75" customHeight="1" x14ac:dyDescent="0.2">
      <c r="F516" s="62"/>
      <c r="N516" s="62"/>
      <c r="O516" s="62"/>
      <c r="P516" s="62"/>
    </row>
    <row r="517" spans="6:16" ht="15.75" customHeight="1" x14ac:dyDescent="0.2">
      <c r="F517" s="62"/>
      <c r="N517" s="62"/>
      <c r="O517" s="62"/>
      <c r="P517" s="62"/>
    </row>
    <row r="518" spans="6:16" ht="15.75" customHeight="1" x14ac:dyDescent="0.2">
      <c r="F518" s="62"/>
      <c r="N518" s="62"/>
      <c r="O518" s="62"/>
      <c r="P518" s="62"/>
    </row>
    <row r="519" spans="6:16" ht="15.75" customHeight="1" x14ac:dyDescent="0.2">
      <c r="F519" s="62"/>
      <c r="N519" s="62"/>
      <c r="O519" s="62"/>
      <c r="P519" s="62"/>
    </row>
    <row r="520" spans="6:16" ht="15.75" customHeight="1" x14ac:dyDescent="0.2">
      <c r="F520" s="62"/>
      <c r="N520" s="62"/>
      <c r="O520" s="62"/>
      <c r="P520" s="62"/>
    </row>
    <row r="521" spans="6:16" ht="15.75" customHeight="1" x14ac:dyDescent="0.2">
      <c r="F521" s="62"/>
      <c r="N521" s="62"/>
      <c r="O521" s="62"/>
      <c r="P521" s="62"/>
    </row>
    <row r="522" spans="6:16" ht="15.75" customHeight="1" x14ac:dyDescent="0.2">
      <c r="F522" s="62"/>
      <c r="N522" s="62"/>
      <c r="O522" s="62"/>
      <c r="P522" s="62"/>
    </row>
    <row r="523" spans="6:16" ht="15.75" customHeight="1" x14ac:dyDescent="0.2">
      <c r="F523" s="62"/>
      <c r="N523" s="62"/>
      <c r="O523" s="62"/>
      <c r="P523" s="62"/>
    </row>
    <row r="524" spans="6:16" ht="15.75" customHeight="1" x14ac:dyDescent="0.2">
      <c r="F524" s="62"/>
      <c r="N524" s="62"/>
      <c r="O524" s="62"/>
      <c r="P524" s="62"/>
    </row>
    <row r="525" spans="6:16" ht="15.75" customHeight="1" x14ac:dyDescent="0.2">
      <c r="F525" s="62"/>
      <c r="N525" s="62"/>
      <c r="O525" s="62"/>
      <c r="P525" s="62"/>
    </row>
    <row r="526" spans="6:16" ht="15.75" customHeight="1" x14ac:dyDescent="0.2">
      <c r="F526" s="62"/>
      <c r="N526" s="62"/>
      <c r="O526" s="62"/>
      <c r="P526" s="62"/>
    </row>
    <row r="527" spans="6:16" ht="15.75" customHeight="1" x14ac:dyDescent="0.2">
      <c r="F527" s="62"/>
      <c r="N527" s="62"/>
      <c r="O527" s="62"/>
      <c r="P527" s="62"/>
    </row>
    <row r="528" spans="6:16" ht="15.75" customHeight="1" x14ac:dyDescent="0.2">
      <c r="F528" s="62"/>
      <c r="N528" s="62"/>
      <c r="O528" s="62"/>
      <c r="P528" s="62"/>
    </row>
    <row r="529" spans="6:16" ht="15.75" customHeight="1" x14ac:dyDescent="0.2">
      <c r="F529" s="62"/>
      <c r="N529" s="62"/>
      <c r="O529" s="62"/>
      <c r="P529" s="62"/>
    </row>
    <row r="530" spans="6:16" ht="15.75" customHeight="1" x14ac:dyDescent="0.2">
      <c r="F530" s="62"/>
      <c r="N530" s="62"/>
      <c r="O530" s="62"/>
      <c r="P530" s="62"/>
    </row>
    <row r="531" spans="6:16" ht="15.75" customHeight="1" x14ac:dyDescent="0.2">
      <c r="F531" s="62"/>
      <c r="N531" s="62"/>
      <c r="O531" s="62"/>
      <c r="P531" s="62"/>
    </row>
    <row r="532" spans="6:16" ht="15.75" customHeight="1" x14ac:dyDescent="0.2">
      <c r="F532" s="62"/>
      <c r="N532" s="62"/>
      <c r="O532" s="62"/>
      <c r="P532" s="62"/>
    </row>
    <row r="533" spans="6:16" ht="15.75" customHeight="1" x14ac:dyDescent="0.2">
      <c r="F533" s="62"/>
      <c r="N533" s="62"/>
      <c r="O533" s="62"/>
      <c r="P533" s="62"/>
    </row>
    <row r="534" spans="6:16" ht="15.75" customHeight="1" x14ac:dyDescent="0.2">
      <c r="F534" s="62"/>
      <c r="N534" s="62"/>
      <c r="O534" s="62"/>
      <c r="P534" s="62"/>
    </row>
    <row r="535" spans="6:16" ht="15.75" customHeight="1" x14ac:dyDescent="0.2">
      <c r="F535" s="62"/>
      <c r="N535" s="62"/>
      <c r="O535" s="62"/>
      <c r="P535" s="62"/>
    </row>
    <row r="536" spans="6:16" ht="15.75" customHeight="1" x14ac:dyDescent="0.2">
      <c r="F536" s="62"/>
      <c r="N536" s="62"/>
      <c r="O536" s="62"/>
      <c r="P536" s="62"/>
    </row>
    <row r="537" spans="6:16" ht="15.75" customHeight="1" x14ac:dyDescent="0.2">
      <c r="F537" s="62"/>
      <c r="N537" s="62"/>
      <c r="O537" s="62"/>
      <c r="P537" s="62"/>
    </row>
    <row r="538" spans="6:16" ht="15.75" customHeight="1" x14ac:dyDescent="0.2">
      <c r="F538" s="62"/>
      <c r="N538" s="62"/>
      <c r="O538" s="62"/>
      <c r="P538" s="62"/>
    </row>
    <row r="539" spans="6:16" ht="15.75" customHeight="1" x14ac:dyDescent="0.2">
      <c r="F539" s="62"/>
      <c r="N539" s="62"/>
      <c r="O539" s="62"/>
      <c r="P539" s="62"/>
    </row>
    <row r="540" spans="6:16" ht="15.75" customHeight="1" x14ac:dyDescent="0.2">
      <c r="F540" s="62"/>
      <c r="N540" s="62"/>
      <c r="O540" s="62"/>
      <c r="P540" s="62"/>
    </row>
    <row r="541" spans="6:16" ht="15.75" customHeight="1" x14ac:dyDescent="0.2">
      <c r="F541" s="62"/>
      <c r="N541" s="62"/>
      <c r="O541" s="62"/>
      <c r="P541" s="62"/>
    </row>
    <row r="542" spans="6:16" ht="15.75" customHeight="1" x14ac:dyDescent="0.2">
      <c r="F542" s="62"/>
      <c r="N542" s="62"/>
      <c r="O542" s="62"/>
      <c r="P542" s="62"/>
    </row>
    <row r="543" spans="6:16" ht="15.75" customHeight="1" x14ac:dyDescent="0.2">
      <c r="F543" s="62"/>
      <c r="N543" s="62"/>
      <c r="O543" s="62"/>
      <c r="P543" s="62"/>
    </row>
    <row r="544" spans="6:16" ht="15.75" customHeight="1" x14ac:dyDescent="0.2">
      <c r="F544" s="62"/>
      <c r="N544" s="62"/>
      <c r="O544" s="62"/>
      <c r="P544" s="62"/>
    </row>
    <row r="545" spans="6:16" ht="15.75" customHeight="1" x14ac:dyDescent="0.2">
      <c r="F545" s="62"/>
      <c r="N545" s="62"/>
      <c r="O545" s="62"/>
      <c r="P545" s="62"/>
    </row>
    <row r="546" spans="6:16" ht="15.75" customHeight="1" x14ac:dyDescent="0.2">
      <c r="F546" s="62"/>
      <c r="N546" s="62"/>
      <c r="O546" s="62"/>
      <c r="P546" s="62"/>
    </row>
    <row r="547" spans="6:16" ht="15.75" customHeight="1" x14ac:dyDescent="0.2">
      <c r="F547" s="62"/>
      <c r="N547" s="62"/>
      <c r="O547" s="62"/>
      <c r="P547" s="62"/>
    </row>
    <row r="548" spans="6:16" ht="15.75" customHeight="1" x14ac:dyDescent="0.2">
      <c r="F548" s="62"/>
      <c r="N548" s="62"/>
      <c r="O548" s="62"/>
      <c r="P548" s="62"/>
    </row>
    <row r="549" spans="6:16" ht="15.75" customHeight="1" x14ac:dyDescent="0.2">
      <c r="F549" s="62"/>
      <c r="N549" s="62"/>
      <c r="O549" s="62"/>
      <c r="P549" s="62"/>
    </row>
    <row r="550" spans="6:16" ht="15.75" customHeight="1" x14ac:dyDescent="0.2">
      <c r="F550" s="62"/>
      <c r="N550" s="62"/>
      <c r="O550" s="62"/>
      <c r="P550" s="62"/>
    </row>
    <row r="551" spans="6:16" ht="15.75" customHeight="1" x14ac:dyDescent="0.2">
      <c r="F551" s="62"/>
      <c r="N551" s="62"/>
      <c r="O551" s="62"/>
      <c r="P551" s="62"/>
    </row>
    <row r="552" spans="6:16" ht="15.75" customHeight="1" x14ac:dyDescent="0.2">
      <c r="F552" s="62"/>
      <c r="N552" s="62"/>
      <c r="O552" s="62"/>
      <c r="P552" s="62"/>
    </row>
    <row r="553" spans="6:16" ht="15.75" customHeight="1" x14ac:dyDescent="0.2">
      <c r="F553" s="62"/>
      <c r="N553" s="62"/>
      <c r="O553" s="62"/>
      <c r="P553" s="62"/>
    </row>
    <row r="554" spans="6:16" ht="15.75" customHeight="1" x14ac:dyDescent="0.2">
      <c r="F554" s="62"/>
      <c r="N554" s="62"/>
      <c r="O554" s="62"/>
      <c r="P554" s="62"/>
    </row>
    <row r="555" spans="6:16" ht="15.75" customHeight="1" x14ac:dyDescent="0.2">
      <c r="F555" s="62"/>
      <c r="N555" s="62"/>
      <c r="O555" s="62"/>
      <c r="P555" s="62"/>
    </row>
    <row r="556" spans="6:16" ht="15.75" customHeight="1" x14ac:dyDescent="0.2">
      <c r="F556" s="62"/>
      <c r="N556" s="62"/>
      <c r="O556" s="62"/>
      <c r="P556" s="62"/>
    </row>
    <row r="557" spans="6:16" ht="15.75" customHeight="1" x14ac:dyDescent="0.2">
      <c r="F557" s="62"/>
      <c r="N557" s="62"/>
      <c r="O557" s="62"/>
      <c r="P557" s="62"/>
    </row>
    <row r="558" spans="6:16" ht="15.75" customHeight="1" x14ac:dyDescent="0.2">
      <c r="F558" s="62"/>
      <c r="N558" s="62"/>
      <c r="O558" s="62"/>
      <c r="P558" s="62"/>
    </row>
    <row r="559" spans="6:16" ht="15.75" customHeight="1" x14ac:dyDescent="0.2">
      <c r="F559" s="62"/>
      <c r="N559" s="62"/>
      <c r="O559" s="62"/>
      <c r="P559" s="62"/>
    </row>
    <row r="560" spans="6:16" ht="15.75" customHeight="1" x14ac:dyDescent="0.2">
      <c r="F560" s="62"/>
      <c r="N560" s="62"/>
      <c r="O560" s="62"/>
      <c r="P560" s="62"/>
    </row>
    <row r="561" spans="6:16" ht="15.75" customHeight="1" x14ac:dyDescent="0.2">
      <c r="F561" s="62"/>
      <c r="N561" s="62"/>
      <c r="O561" s="62"/>
      <c r="P561" s="62"/>
    </row>
    <row r="562" spans="6:16" ht="15.75" customHeight="1" x14ac:dyDescent="0.2">
      <c r="F562" s="62"/>
      <c r="N562" s="62"/>
      <c r="O562" s="62"/>
      <c r="P562" s="62"/>
    </row>
    <row r="563" spans="6:16" ht="15.75" customHeight="1" x14ac:dyDescent="0.2">
      <c r="F563" s="62"/>
      <c r="N563" s="62"/>
      <c r="O563" s="62"/>
      <c r="P563" s="62"/>
    </row>
    <row r="564" spans="6:16" ht="15.75" customHeight="1" x14ac:dyDescent="0.2">
      <c r="F564" s="62"/>
      <c r="N564" s="62"/>
      <c r="O564" s="62"/>
      <c r="P564" s="62"/>
    </row>
    <row r="565" spans="6:16" ht="15.75" customHeight="1" x14ac:dyDescent="0.2">
      <c r="F565" s="62"/>
      <c r="N565" s="62"/>
      <c r="O565" s="62"/>
      <c r="P565" s="62"/>
    </row>
    <row r="566" spans="6:16" ht="15.75" customHeight="1" x14ac:dyDescent="0.2">
      <c r="F566" s="62"/>
      <c r="N566" s="62"/>
      <c r="O566" s="62"/>
      <c r="P566" s="62"/>
    </row>
    <row r="567" spans="6:16" ht="15.75" customHeight="1" x14ac:dyDescent="0.2">
      <c r="F567" s="62"/>
      <c r="N567" s="62"/>
      <c r="O567" s="62"/>
      <c r="P567" s="62"/>
    </row>
    <row r="568" spans="6:16" ht="15.75" customHeight="1" x14ac:dyDescent="0.2">
      <c r="F568" s="62"/>
      <c r="N568" s="62"/>
      <c r="O568" s="62"/>
      <c r="P568" s="62"/>
    </row>
    <row r="569" spans="6:16" ht="15.75" customHeight="1" x14ac:dyDescent="0.2">
      <c r="F569" s="62"/>
      <c r="N569" s="62"/>
      <c r="O569" s="62"/>
      <c r="P569" s="62"/>
    </row>
    <row r="570" spans="6:16" ht="15.75" customHeight="1" x14ac:dyDescent="0.2">
      <c r="F570" s="62"/>
      <c r="N570" s="62"/>
      <c r="O570" s="62"/>
      <c r="P570" s="62"/>
    </row>
    <row r="571" spans="6:16" ht="15.75" customHeight="1" x14ac:dyDescent="0.2">
      <c r="F571" s="62"/>
      <c r="N571" s="62"/>
      <c r="O571" s="62"/>
      <c r="P571" s="62"/>
    </row>
    <row r="572" spans="6:16" ht="15.75" customHeight="1" x14ac:dyDescent="0.2">
      <c r="F572" s="62"/>
      <c r="N572" s="62"/>
      <c r="O572" s="62"/>
      <c r="P572" s="62"/>
    </row>
    <row r="573" spans="6:16" ht="15.75" customHeight="1" x14ac:dyDescent="0.2">
      <c r="F573" s="62"/>
      <c r="N573" s="62"/>
      <c r="O573" s="62"/>
      <c r="P573" s="62"/>
    </row>
    <row r="574" spans="6:16" ht="15.75" customHeight="1" x14ac:dyDescent="0.2">
      <c r="F574" s="62"/>
      <c r="N574" s="62"/>
      <c r="O574" s="62"/>
      <c r="P574" s="62"/>
    </row>
    <row r="575" spans="6:16" ht="15.75" customHeight="1" x14ac:dyDescent="0.2">
      <c r="F575" s="62"/>
      <c r="N575" s="62"/>
      <c r="O575" s="62"/>
      <c r="P575" s="62"/>
    </row>
    <row r="576" spans="6:16" ht="15.75" customHeight="1" x14ac:dyDescent="0.2">
      <c r="F576" s="62"/>
      <c r="N576" s="62"/>
      <c r="O576" s="62"/>
      <c r="P576" s="62"/>
    </row>
    <row r="577" spans="6:16" ht="15.75" customHeight="1" x14ac:dyDescent="0.2">
      <c r="F577" s="62"/>
      <c r="N577" s="62"/>
      <c r="O577" s="62"/>
      <c r="P577" s="62"/>
    </row>
    <row r="578" spans="6:16" ht="15.75" customHeight="1" x14ac:dyDescent="0.2">
      <c r="F578" s="62"/>
      <c r="N578" s="62"/>
      <c r="O578" s="62"/>
      <c r="P578" s="62"/>
    </row>
    <row r="579" spans="6:16" ht="15.75" customHeight="1" x14ac:dyDescent="0.2">
      <c r="F579" s="62"/>
      <c r="N579" s="62"/>
      <c r="O579" s="62"/>
      <c r="P579" s="62"/>
    </row>
    <row r="580" spans="6:16" ht="15.75" customHeight="1" x14ac:dyDescent="0.2">
      <c r="F580" s="62"/>
      <c r="N580" s="62"/>
      <c r="O580" s="62"/>
      <c r="P580" s="62"/>
    </row>
    <row r="581" spans="6:16" ht="15.75" customHeight="1" x14ac:dyDescent="0.2">
      <c r="F581" s="62"/>
      <c r="N581" s="62"/>
      <c r="O581" s="62"/>
      <c r="P581" s="62"/>
    </row>
    <row r="582" spans="6:16" ht="15.75" customHeight="1" x14ac:dyDescent="0.2">
      <c r="F582" s="62"/>
      <c r="N582" s="62"/>
      <c r="O582" s="62"/>
      <c r="P582" s="62"/>
    </row>
    <row r="583" spans="6:16" ht="15.75" customHeight="1" x14ac:dyDescent="0.2">
      <c r="F583" s="62"/>
      <c r="N583" s="62"/>
      <c r="O583" s="62"/>
      <c r="P583" s="62"/>
    </row>
    <row r="584" spans="6:16" ht="15.75" customHeight="1" x14ac:dyDescent="0.2">
      <c r="F584" s="62"/>
      <c r="N584" s="62"/>
      <c r="O584" s="62"/>
      <c r="P584" s="62"/>
    </row>
    <row r="585" spans="6:16" ht="15.75" customHeight="1" x14ac:dyDescent="0.2">
      <c r="F585" s="62"/>
      <c r="N585" s="62"/>
      <c r="O585" s="62"/>
      <c r="P585" s="62"/>
    </row>
    <row r="586" spans="6:16" ht="15.75" customHeight="1" x14ac:dyDescent="0.2">
      <c r="F586" s="62"/>
      <c r="N586" s="62"/>
      <c r="O586" s="62"/>
      <c r="P586" s="62"/>
    </row>
    <row r="587" spans="6:16" ht="15.75" customHeight="1" x14ac:dyDescent="0.2">
      <c r="F587" s="62"/>
      <c r="N587" s="62"/>
      <c r="O587" s="62"/>
      <c r="P587" s="62"/>
    </row>
    <row r="588" spans="6:16" ht="15.75" customHeight="1" x14ac:dyDescent="0.2">
      <c r="F588" s="62"/>
      <c r="N588" s="62"/>
      <c r="O588" s="62"/>
      <c r="P588" s="62"/>
    </row>
    <row r="589" spans="6:16" ht="15.75" customHeight="1" x14ac:dyDescent="0.2">
      <c r="F589" s="62"/>
      <c r="N589" s="62"/>
      <c r="O589" s="62"/>
      <c r="P589" s="62"/>
    </row>
    <row r="590" spans="6:16" ht="15.75" customHeight="1" x14ac:dyDescent="0.2">
      <c r="F590" s="62"/>
      <c r="N590" s="62"/>
      <c r="O590" s="62"/>
      <c r="P590" s="62"/>
    </row>
    <row r="591" spans="6:16" ht="15.75" customHeight="1" x14ac:dyDescent="0.2">
      <c r="F591" s="62"/>
      <c r="N591" s="62"/>
      <c r="O591" s="62"/>
      <c r="P591" s="62"/>
    </row>
    <row r="592" spans="6:16" ht="15.75" customHeight="1" x14ac:dyDescent="0.2">
      <c r="F592" s="62"/>
      <c r="N592" s="62"/>
      <c r="O592" s="62"/>
      <c r="P592" s="62"/>
    </row>
    <row r="593" spans="6:16" ht="15.75" customHeight="1" x14ac:dyDescent="0.2">
      <c r="F593" s="62"/>
      <c r="N593" s="62"/>
      <c r="O593" s="62"/>
      <c r="P593" s="62"/>
    </row>
    <row r="594" spans="6:16" ht="15.75" customHeight="1" x14ac:dyDescent="0.2">
      <c r="F594" s="62"/>
      <c r="N594" s="62"/>
      <c r="O594" s="62"/>
      <c r="P594" s="62"/>
    </row>
    <row r="595" spans="6:16" ht="15.75" customHeight="1" x14ac:dyDescent="0.2">
      <c r="F595" s="62"/>
      <c r="N595" s="62"/>
      <c r="O595" s="62"/>
      <c r="P595" s="62"/>
    </row>
    <row r="596" spans="6:16" ht="15.75" customHeight="1" x14ac:dyDescent="0.2">
      <c r="F596" s="62"/>
      <c r="N596" s="62"/>
      <c r="O596" s="62"/>
      <c r="P596" s="62"/>
    </row>
    <row r="597" spans="6:16" ht="15.75" customHeight="1" x14ac:dyDescent="0.2">
      <c r="F597" s="62"/>
      <c r="N597" s="62"/>
      <c r="O597" s="62"/>
      <c r="P597" s="62"/>
    </row>
    <row r="598" spans="6:16" ht="15.75" customHeight="1" x14ac:dyDescent="0.2">
      <c r="F598" s="62"/>
      <c r="N598" s="62"/>
      <c r="O598" s="62"/>
      <c r="P598" s="62"/>
    </row>
    <row r="599" spans="6:16" ht="15.75" customHeight="1" x14ac:dyDescent="0.2">
      <c r="F599" s="62"/>
      <c r="N599" s="62"/>
      <c r="O599" s="62"/>
      <c r="P599" s="62"/>
    </row>
    <row r="600" spans="6:16" ht="15.75" customHeight="1" x14ac:dyDescent="0.2">
      <c r="F600" s="62"/>
      <c r="N600" s="62"/>
      <c r="O600" s="62"/>
      <c r="P600" s="62"/>
    </row>
    <row r="601" spans="6:16" ht="15.75" customHeight="1" x14ac:dyDescent="0.2">
      <c r="F601" s="62"/>
      <c r="N601" s="62"/>
      <c r="O601" s="62"/>
      <c r="P601" s="62"/>
    </row>
    <row r="602" spans="6:16" ht="15.75" customHeight="1" x14ac:dyDescent="0.2">
      <c r="F602" s="62"/>
      <c r="N602" s="62"/>
      <c r="O602" s="62"/>
      <c r="P602" s="62"/>
    </row>
    <row r="603" spans="6:16" ht="15.75" customHeight="1" x14ac:dyDescent="0.2">
      <c r="F603" s="62"/>
      <c r="N603" s="62"/>
      <c r="O603" s="62"/>
      <c r="P603" s="62"/>
    </row>
    <row r="604" spans="6:16" ht="15.75" customHeight="1" x14ac:dyDescent="0.2">
      <c r="F604" s="62"/>
      <c r="N604" s="62"/>
      <c r="O604" s="62"/>
      <c r="P604" s="62"/>
    </row>
    <row r="605" spans="6:16" ht="15.75" customHeight="1" x14ac:dyDescent="0.2">
      <c r="F605" s="62"/>
      <c r="N605" s="62"/>
      <c r="O605" s="62"/>
      <c r="P605" s="62"/>
    </row>
    <row r="606" spans="6:16" ht="15.75" customHeight="1" x14ac:dyDescent="0.2">
      <c r="F606" s="62"/>
      <c r="N606" s="62"/>
      <c r="O606" s="62"/>
      <c r="P606" s="62"/>
    </row>
    <row r="607" spans="6:16" ht="15.75" customHeight="1" x14ac:dyDescent="0.2">
      <c r="F607" s="62"/>
      <c r="N607" s="62"/>
      <c r="O607" s="62"/>
      <c r="P607" s="62"/>
    </row>
    <row r="608" spans="6:16" ht="15.75" customHeight="1" x14ac:dyDescent="0.2">
      <c r="F608" s="62"/>
      <c r="N608" s="62"/>
      <c r="O608" s="62"/>
      <c r="P608" s="62"/>
    </row>
    <row r="609" spans="6:16" ht="15.75" customHeight="1" x14ac:dyDescent="0.2">
      <c r="F609" s="62"/>
      <c r="N609" s="62"/>
      <c r="O609" s="62"/>
      <c r="P609" s="62"/>
    </row>
    <row r="610" spans="6:16" ht="15.75" customHeight="1" x14ac:dyDescent="0.2">
      <c r="F610" s="62"/>
      <c r="N610" s="62"/>
      <c r="O610" s="62"/>
      <c r="P610" s="62"/>
    </row>
    <row r="611" spans="6:16" ht="15.75" customHeight="1" x14ac:dyDescent="0.2">
      <c r="F611" s="62"/>
      <c r="N611" s="62"/>
      <c r="O611" s="62"/>
      <c r="P611" s="62"/>
    </row>
    <row r="612" spans="6:16" ht="15.75" customHeight="1" x14ac:dyDescent="0.2">
      <c r="F612" s="62"/>
      <c r="N612" s="62"/>
      <c r="O612" s="62"/>
      <c r="P612" s="62"/>
    </row>
    <row r="613" spans="6:16" ht="15.75" customHeight="1" x14ac:dyDescent="0.2">
      <c r="F613" s="62"/>
      <c r="N613" s="62"/>
      <c r="O613" s="62"/>
      <c r="P613" s="62"/>
    </row>
    <row r="614" spans="6:16" ht="15.75" customHeight="1" x14ac:dyDescent="0.2">
      <c r="F614" s="62"/>
      <c r="N614" s="62"/>
      <c r="O614" s="62"/>
      <c r="P614" s="62"/>
    </row>
    <row r="615" spans="6:16" ht="15.75" customHeight="1" x14ac:dyDescent="0.2">
      <c r="F615" s="62"/>
      <c r="N615" s="62"/>
      <c r="O615" s="62"/>
      <c r="P615" s="62"/>
    </row>
    <row r="616" spans="6:16" ht="15.75" customHeight="1" x14ac:dyDescent="0.2">
      <c r="F616" s="62"/>
      <c r="N616" s="62"/>
      <c r="O616" s="62"/>
      <c r="P616" s="62"/>
    </row>
    <row r="617" spans="6:16" ht="15.75" customHeight="1" x14ac:dyDescent="0.2">
      <c r="F617" s="62"/>
      <c r="N617" s="62"/>
      <c r="O617" s="62"/>
      <c r="P617" s="62"/>
    </row>
    <row r="618" spans="6:16" ht="15.75" customHeight="1" x14ac:dyDescent="0.2">
      <c r="F618" s="62"/>
      <c r="N618" s="62"/>
      <c r="O618" s="62"/>
      <c r="P618" s="62"/>
    </row>
    <row r="619" spans="6:16" ht="15.75" customHeight="1" x14ac:dyDescent="0.2">
      <c r="F619" s="62"/>
      <c r="N619" s="62"/>
      <c r="O619" s="62"/>
      <c r="P619" s="62"/>
    </row>
    <row r="620" spans="6:16" ht="15.75" customHeight="1" x14ac:dyDescent="0.2">
      <c r="F620" s="62"/>
      <c r="N620" s="62"/>
      <c r="O620" s="62"/>
      <c r="P620" s="62"/>
    </row>
    <row r="621" spans="6:16" ht="15.75" customHeight="1" x14ac:dyDescent="0.2">
      <c r="F621" s="62"/>
      <c r="N621" s="62"/>
      <c r="O621" s="62"/>
      <c r="P621" s="62"/>
    </row>
    <row r="622" spans="6:16" ht="15.75" customHeight="1" x14ac:dyDescent="0.2">
      <c r="F622" s="62"/>
      <c r="N622" s="62"/>
      <c r="O622" s="62"/>
      <c r="P622" s="62"/>
    </row>
    <row r="623" spans="6:16" ht="15.75" customHeight="1" x14ac:dyDescent="0.2">
      <c r="F623" s="62"/>
      <c r="N623" s="62"/>
      <c r="O623" s="62"/>
      <c r="P623" s="62"/>
    </row>
    <row r="624" spans="6:16" ht="15.75" customHeight="1" x14ac:dyDescent="0.2">
      <c r="F624" s="62"/>
      <c r="N624" s="62"/>
      <c r="O624" s="62"/>
      <c r="P624" s="62"/>
    </row>
    <row r="625" spans="6:16" ht="15.75" customHeight="1" x14ac:dyDescent="0.2">
      <c r="F625" s="62"/>
      <c r="N625" s="62"/>
      <c r="O625" s="62"/>
      <c r="P625" s="62"/>
    </row>
    <row r="626" spans="6:16" ht="15.75" customHeight="1" x14ac:dyDescent="0.2">
      <c r="F626" s="62"/>
      <c r="N626" s="62"/>
      <c r="O626" s="62"/>
      <c r="P626" s="62"/>
    </row>
    <row r="627" spans="6:16" ht="15.75" customHeight="1" x14ac:dyDescent="0.2">
      <c r="F627" s="62"/>
      <c r="N627" s="62"/>
      <c r="O627" s="62"/>
      <c r="P627" s="62"/>
    </row>
    <row r="628" spans="6:16" ht="15.75" customHeight="1" x14ac:dyDescent="0.2">
      <c r="F628" s="62"/>
      <c r="N628" s="62"/>
      <c r="O628" s="62"/>
      <c r="P628" s="62"/>
    </row>
    <row r="629" spans="6:16" ht="15.75" customHeight="1" x14ac:dyDescent="0.2">
      <c r="F629" s="62"/>
      <c r="N629" s="62"/>
      <c r="O629" s="62"/>
      <c r="P629" s="62"/>
    </row>
    <row r="630" spans="6:16" ht="15.75" customHeight="1" x14ac:dyDescent="0.2">
      <c r="F630" s="62"/>
      <c r="N630" s="62"/>
      <c r="O630" s="62"/>
      <c r="P630" s="62"/>
    </row>
    <row r="631" spans="6:16" ht="15.75" customHeight="1" x14ac:dyDescent="0.2">
      <c r="F631" s="62"/>
      <c r="N631" s="62"/>
      <c r="O631" s="62"/>
      <c r="P631" s="62"/>
    </row>
    <row r="632" spans="6:16" ht="15.75" customHeight="1" x14ac:dyDescent="0.2">
      <c r="F632" s="62"/>
      <c r="N632" s="62"/>
      <c r="O632" s="62"/>
      <c r="P632" s="62"/>
    </row>
    <row r="633" spans="6:16" ht="15.75" customHeight="1" x14ac:dyDescent="0.2">
      <c r="F633" s="62"/>
      <c r="N633" s="62"/>
      <c r="O633" s="62"/>
      <c r="P633" s="62"/>
    </row>
    <row r="634" spans="6:16" ht="15.75" customHeight="1" x14ac:dyDescent="0.2">
      <c r="F634" s="62"/>
      <c r="N634" s="62"/>
      <c r="O634" s="62"/>
      <c r="P634" s="62"/>
    </row>
    <row r="635" spans="6:16" ht="15.75" customHeight="1" x14ac:dyDescent="0.2">
      <c r="F635" s="62"/>
      <c r="N635" s="62"/>
      <c r="O635" s="62"/>
      <c r="P635" s="62"/>
    </row>
    <row r="636" spans="6:16" ht="15.75" customHeight="1" x14ac:dyDescent="0.2">
      <c r="F636" s="62"/>
      <c r="N636" s="62"/>
      <c r="O636" s="62"/>
      <c r="P636" s="62"/>
    </row>
    <row r="637" spans="6:16" ht="15.75" customHeight="1" x14ac:dyDescent="0.2">
      <c r="F637" s="62"/>
      <c r="N637" s="62"/>
      <c r="O637" s="62"/>
      <c r="P637" s="62"/>
    </row>
    <row r="638" spans="6:16" ht="15.75" customHeight="1" x14ac:dyDescent="0.2">
      <c r="F638" s="62"/>
      <c r="N638" s="62"/>
      <c r="O638" s="62"/>
      <c r="P638" s="62"/>
    </row>
    <row r="639" spans="6:16" ht="15.75" customHeight="1" x14ac:dyDescent="0.2">
      <c r="F639" s="62"/>
      <c r="N639" s="62"/>
      <c r="O639" s="62"/>
      <c r="P639" s="62"/>
    </row>
    <row r="640" spans="6:16" ht="15.75" customHeight="1" x14ac:dyDescent="0.2">
      <c r="F640" s="62"/>
      <c r="N640" s="62"/>
      <c r="O640" s="62"/>
      <c r="P640" s="62"/>
    </row>
    <row r="641" spans="6:16" ht="15.75" customHeight="1" x14ac:dyDescent="0.2">
      <c r="F641" s="62"/>
      <c r="N641" s="62"/>
      <c r="O641" s="62"/>
      <c r="P641" s="62"/>
    </row>
    <row r="642" spans="6:16" ht="15.75" customHeight="1" x14ac:dyDescent="0.2">
      <c r="F642" s="62"/>
      <c r="N642" s="62"/>
      <c r="O642" s="62"/>
      <c r="P642" s="62"/>
    </row>
    <row r="643" spans="6:16" ht="15.75" customHeight="1" x14ac:dyDescent="0.2">
      <c r="F643" s="62"/>
      <c r="N643" s="62"/>
      <c r="O643" s="62"/>
      <c r="P643" s="62"/>
    </row>
    <row r="644" spans="6:16" ht="15.75" customHeight="1" x14ac:dyDescent="0.2">
      <c r="F644" s="62"/>
      <c r="N644" s="62"/>
      <c r="O644" s="62"/>
      <c r="P644" s="62"/>
    </row>
    <row r="645" spans="6:16" ht="15.75" customHeight="1" x14ac:dyDescent="0.2">
      <c r="F645" s="62"/>
      <c r="N645" s="62"/>
      <c r="O645" s="62"/>
      <c r="P645" s="62"/>
    </row>
    <row r="646" spans="6:16" ht="15.75" customHeight="1" x14ac:dyDescent="0.2">
      <c r="F646" s="62"/>
      <c r="N646" s="62"/>
      <c r="O646" s="62"/>
      <c r="P646" s="62"/>
    </row>
    <row r="647" spans="6:16" ht="15.75" customHeight="1" x14ac:dyDescent="0.2">
      <c r="F647" s="62"/>
      <c r="N647" s="62"/>
      <c r="O647" s="62"/>
      <c r="P647" s="62"/>
    </row>
    <row r="648" spans="6:16" ht="15.75" customHeight="1" x14ac:dyDescent="0.2">
      <c r="F648" s="62"/>
      <c r="N648" s="62"/>
      <c r="O648" s="62"/>
      <c r="P648" s="62"/>
    </row>
    <row r="649" spans="6:16" ht="15.75" customHeight="1" x14ac:dyDescent="0.2">
      <c r="F649" s="62"/>
      <c r="N649" s="62"/>
      <c r="O649" s="62"/>
      <c r="P649" s="62"/>
    </row>
    <row r="650" spans="6:16" ht="15.75" customHeight="1" x14ac:dyDescent="0.2">
      <c r="F650" s="62"/>
      <c r="N650" s="62"/>
      <c r="O650" s="62"/>
      <c r="P650" s="62"/>
    </row>
    <row r="651" spans="6:16" ht="15.75" customHeight="1" x14ac:dyDescent="0.2">
      <c r="F651" s="62"/>
      <c r="N651" s="62"/>
      <c r="O651" s="62"/>
      <c r="P651" s="62"/>
    </row>
    <row r="652" spans="6:16" ht="15.75" customHeight="1" x14ac:dyDescent="0.2">
      <c r="F652" s="62"/>
      <c r="N652" s="62"/>
      <c r="O652" s="62"/>
      <c r="P652" s="62"/>
    </row>
    <row r="653" spans="6:16" ht="15.75" customHeight="1" x14ac:dyDescent="0.2">
      <c r="F653" s="62"/>
      <c r="N653" s="62"/>
      <c r="O653" s="62"/>
      <c r="P653" s="62"/>
    </row>
    <row r="654" spans="6:16" ht="15.75" customHeight="1" x14ac:dyDescent="0.2">
      <c r="F654" s="62"/>
      <c r="N654" s="62"/>
      <c r="O654" s="62"/>
      <c r="P654" s="62"/>
    </row>
    <row r="655" spans="6:16" ht="15.75" customHeight="1" x14ac:dyDescent="0.2">
      <c r="F655" s="62"/>
      <c r="N655" s="62"/>
      <c r="O655" s="62"/>
      <c r="P655" s="62"/>
    </row>
    <row r="656" spans="6:16" ht="15.75" customHeight="1" x14ac:dyDescent="0.2">
      <c r="F656" s="62"/>
      <c r="N656" s="62"/>
      <c r="O656" s="62"/>
      <c r="P656" s="62"/>
    </row>
    <row r="657" spans="6:16" ht="15.75" customHeight="1" x14ac:dyDescent="0.2">
      <c r="F657" s="62"/>
      <c r="N657" s="62"/>
      <c r="O657" s="62"/>
      <c r="P657" s="62"/>
    </row>
    <row r="658" spans="6:16" ht="15.75" customHeight="1" x14ac:dyDescent="0.2">
      <c r="F658" s="62"/>
      <c r="N658" s="62"/>
      <c r="O658" s="62"/>
      <c r="P658" s="62"/>
    </row>
    <row r="659" spans="6:16" ht="15.75" customHeight="1" x14ac:dyDescent="0.2">
      <c r="F659" s="62"/>
      <c r="N659" s="62"/>
      <c r="O659" s="62"/>
      <c r="P659" s="62"/>
    </row>
    <row r="660" spans="6:16" ht="15.75" customHeight="1" x14ac:dyDescent="0.2">
      <c r="F660" s="62"/>
      <c r="N660" s="62"/>
      <c r="O660" s="62"/>
      <c r="P660" s="62"/>
    </row>
    <row r="661" spans="6:16" ht="15.75" customHeight="1" x14ac:dyDescent="0.2">
      <c r="F661" s="62"/>
      <c r="N661" s="62"/>
      <c r="O661" s="62"/>
      <c r="P661" s="62"/>
    </row>
    <row r="662" spans="6:16" ht="15.75" customHeight="1" x14ac:dyDescent="0.2">
      <c r="F662" s="62"/>
      <c r="N662" s="62"/>
      <c r="O662" s="62"/>
      <c r="P662" s="62"/>
    </row>
    <row r="663" spans="6:16" ht="15.75" customHeight="1" x14ac:dyDescent="0.2">
      <c r="F663" s="62"/>
      <c r="N663" s="62"/>
      <c r="O663" s="62"/>
      <c r="P663" s="62"/>
    </row>
    <row r="664" spans="6:16" ht="15.75" customHeight="1" x14ac:dyDescent="0.2">
      <c r="F664" s="62"/>
      <c r="N664" s="62"/>
      <c r="O664" s="62"/>
      <c r="P664" s="62"/>
    </row>
    <row r="665" spans="6:16" ht="15.75" customHeight="1" x14ac:dyDescent="0.2">
      <c r="F665" s="62"/>
      <c r="N665" s="62"/>
      <c r="O665" s="62"/>
      <c r="P665" s="62"/>
    </row>
    <row r="666" spans="6:16" ht="15.75" customHeight="1" x14ac:dyDescent="0.2">
      <c r="F666" s="62"/>
      <c r="N666" s="62"/>
      <c r="O666" s="62"/>
      <c r="P666" s="62"/>
    </row>
    <row r="667" spans="6:16" ht="15.75" customHeight="1" x14ac:dyDescent="0.2">
      <c r="F667" s="62"/>
      <c r="N667" s="62"/>
      <c r="O667" s="62"/>
      <c r="P667" s="62"/>
    </row>
    <row r="668" spans="6:16" ht="15.75" customHeight="1" x14ac:dyDescent="0.2">
      <c r="F668" s="62"/>
      <c r="N668" s="62"/>
      <c r="O668" s="62"/>
      <c r="P668" s="62"/>
    </row>
    <row r="669" spans="6:16" ht="15.75" customHeight="1" x14ac:dyDescent="0.2">
      <c r="F669" s="62"/>
      <c r="N669" s="62"/>
      <c r="O669" s="62"/>
      <c r="P669" s="62"/>
    </row>
    <row r="670" spans="6:16" ht="15.75" customHeight="1" x14ac:dyDescent="0.2">
      <c r="F670" s="62"/>
      <c r="N670" s="62"/>
      <c r="O670" s="62"/>
      <c r="P670" s="62"/>
    </row>
    <row r="671" spans="6:16" ht="15.75" customHeight="1" x14ac:dyDescent="0.2">
      <c r="F671" s="62"/>
      <c r="N671" s="62"/>
      <c r="O671" s="62"/>
      <c r="P671" s="62"/>
    </row>
    <row r="672" spans="6:16" ht="15.75" customHeight="1" x14ac:dyDescent="0.2">
      <c r="F672" s="62"/>
      <c r="N672" s="62"/>
      <c r="O672" s="62"/>
      <c r="P672" s="62"/>
    </row>
    <row r="673" spans="6:16" ht="15.75" customHeight="1" x14ac:dyDescent="0.2">
      <c r="F673" s="62"/>
      <c r="N673" s="62"/>
      <c r="O673" s="62"/>
      <c r="P673" s="62"/>
    </row>
    <row r="674" spans="6:16" ht="15.75" customHeight="1" x14ac:dyDescent="0.2">
      <c r="F674" s="62"/>
      <c r="N674" s="62"/>
      <c r="O674" s="62"/>
      <c r="P674" s="62"/>
    </row>
    <row r="675" spans="6:16" ht="15.75" customHeight="1" x14ac:dyDescent="0.2">
      <c r="F675" s="62"/>
      <c r="N675" s="62"/>
      <c r="O675" s="62"/>
      <c r="P675" s="62"/>
    </row>
    <row r="676" spans="6:16" ht="15.75" customHeight="1" x14ac:dyDescent="0.2">
      <c r="F676" s="62"/>
      <c r="N676" s="62"/>
      <c r="O676" s="62"/>
      <c r="P676" s="62"/>
    </row>
    <row r="677" spans="6:16" ht="15.75" customHeight="1" x14ac:dyDescent="0.2">
      <c r="F677" s="62"/>
      <c r="N677" s="62"/>
      <c r="O677" s="62"/>
      <c r="P677" s="62"/>
    </row>
    <row r="678" spans="6:16" ht="15.75" customHeight="1" x14ac:dyDescent="0.2">
      <c r="F678" s="62"/>
      <c r="N678" s="62"/>
      <c r="O678" s="62"/>
      <c r="P678" s="62"/>
    </row>
    <row r="679" spans="6:16" ht="15.75" customHeight="1" x14ac:dyDescent="0.2">
      <c r="F679" s="62"/>
      <c r="N679" s="62"/>
      <c r="O679" s="62"/>
      <c r="P679" s="62"/>
    </row>
    <row r="680" spans="6:16" ht="15.75" customHeight="1" x14ac:dyDescent="0.2">
      <c r="F680" s="62"/>
      <c r="N680" s="62"/>
      <c r="O680" s="62"/>
      <c r="P680" s="62"/>
    </row>
    <row r="681" spans="6:16" ht="15.75" customHeight="1" x14ac:dyDescent="0.2">
      <c r="F681" s="62"/>
      <c r="N681" s="62"/>
      <c r="O681" s="62"/>
      <c r="P681" s="62"/>
    </row>
    <row r="682" spans="6:16" ht="15.75" customHeight="1" x14ac:dyDescent="0.2">
      <c r="F682" s="62"/>
      <c r="N682" s="62"/>
      <c r="O682" s="62"/>
      <c r="P682" s="62"/>
    </row>
    <row r="683" spans="6:16" ht="15.75" customHeight="1" x14ac:dyDescent="0.2">
      <c r="F683" s="62"/>
      <c r="N683" s="62"/>
      <c r="O683" s="62"/>
      <c r="P683" s="62"/>
    </row>
    <row r="684" spans="6:16" ht="15.75" customHeight="1" x14ac:dyDescent="0.2">
      <c r="F684" s="62"/>
      <c r="N684" s="62"/>
      <c r="O684" s="62"/>
      <c r="P684" s="62"/>
    </row>
    <row r="685" spans="6:16" ht="15.75" customHeight="1" x14ac:dyDescent="0.2">
      <c r="F685" s="62"/>
      <c r="N685" s="62"/>
      <c r="O685" s="62"/>
      <c r="P685" s="62"/>
    </row>
    <row r="686" spans="6:16" ht="15.75" customHeight="1" x14ac:dyDescent="0.2">
      <c r="F686" s="62"/>
      <c r="N686" s="62"/>
      <c r="O686" s="62"/>
      <c r="P686" s="62"/>
    </row>
    <row r="687" spans="6:16" ht="15.75" customHeight="1" x14ac:dyDescent="0.2">
      <c r="F687" s="62"/>
      <c r="N687" s="62"/>
      <c r="O687" s="62"/>
      <c r="P687" s="62"/>
    </row>
    <row r="688" spans="6:16" ht="15.75" customHeight="1" x14ac:dyDescent="0.2">
      <c r="F688" s="62"/>
      <c r="N688" s="62"/>
      <c r="O688" s="62"/>
      <c r="P688" s="62"/>
    </row>
    <row r="689" spans="6:16" ht="15.75" customHeight="1" x14ac:dyDescent="0.2">
      <c r="F689" s="62"/>
      <c r="N689" s="62"/>
      <c r="O689" s="62"/>
      <c r="P689" s="62"/>
    </row>
    <row r="690" spans="6:16" ht="15.75" customHeight="1" x14ac:dyDescent="0.2">
      <c r="F690" s="62"/>
      <c r="N690" s="62"/>
      <c r="O690" s="62"/>
      <c r="P690" s="62"/>
    </row>
    <row r="691" spans="6:16" ht="15.75" customHeight="1" x14ac:dyDescent="0.2">
      <c r="F691" s="62"/>
      <c r="N691" s="62"/>
      <c r="O691" s="62"/>
      <c r="P691" s="62"/>
    </row>
    <row r="692" spans="6:16" ht="15.75" customHeight="1" x14ac:dyDescent="0.2">
      <c r="F692" s="62"/>
      <c r="N692" s="62"/>
      <c r="O692" s="62"/>
      <c r="P692" s="62"/>
    </row>
    <row r="693" spans="6:16" ht="15.75" customHeight="1" x14ac:dyDescent="0.2">
      <c r="F693" s="62"/>
      <c r="N693" s="62"/>
      <c r="O693" s="62"/>
      <c r="P693" s="62"/>
    </row>
    <row r="694" spans="6:16" ht="15.75" customHeight="1" x14ac:dyDescent="0.2">
      <c r="F694" s="62"/>
      <c r="N694" s="62"/>
      <c r="O694" s="62"/>
      <c r="P694" s="62"/>
    </row>
    <row r="695" spans="6:16" ht="15.75" customHeight="1" x14ac:dyDescent="0.2">
      <c r="F695" s="62"/>
      <c r="N695" s="62"/>
      <c r="O695" s="62"/>
      <c r="P695" s="62"/>
    </row>
    <row r="696" spans="6:16" ht="15.75" customHeight="1" x14ac:dyDescent="0.2">
      <c r="F696" s="62"/>
      <c r="N696" s="62"/>
      <c r="O696" s="62"/>
      <c r="P696" s="62"/>
    </row>
    <row r="697" spans="6:16" ht="15.75" customHeight="1" x14ac:dyDescent="0.2">
      <c r="F697" s="62"/>
      <c r="N697" s="62"/>
      <c r="O697" s="62"/>
      <c r="P697" s="62"/>
    </row>
    <row r="698" spans="6:16" ht="15.75" customHeight="1" x14ac:dyDescent="0.2">
      <c r="F698" s="62"/>
      <c r="N698" s="62"/>
      <c r="O698" s="62"/>
      <c r="P698" s="62"/>
    </row>
    <row r="699" spans="6:16" ht="15.75" customHeight="1" x14ac:dyDescent="0.2">
      <c r="F699" s="62"/>
      <c r="N699" s="62"/>
      <c r="O699" s="62"/>
      <c r="P699" s="62"/>
    </row>
    <row r="700" spans="6:16" ht="15.75" customHeight="1" x14ac:dyDescent="0.2">
      <c r="F700" s="62"/>
      <c r="N700" s="62"/>
      <c r="O700" s="62"/>
      <c r="P700" s="62"/>
    </row>
    <row r="701" spans="6:16" ht="15.75" customHeight="1" x14ac:dyDescent="0.2">
      <c r="F701" s="62"/>
      <c r="N701" s="62"/>
      <c r="O701" s="62"/>
      <c r="P701" s="62"/>
    </row>
    <row r="702" spans="6:16" ht="15.75" customHeight="1" x14ac:dyDescent="0.2">
      <c r="F702" s="62"/>
      <c r="N702" s="62"/>
      <c r="O702" s="62"/>
      <c r="P702" s="62"/>
    </row>
    <row r="703" spans="6:16" ht="15.75" customHeight="1" x14ac:dyDescent="0.2">
      <c r="F703" s="62"/>
      <c r="N703" s="62"/>
      <c r="O703" s="62"/>
      <c r="P703" s="62"/>
    </row>
    <row r="704" spans="6:16" ht="15.75" customHeight="1" x14ac:dyDescent="0.2">
      <c r="F704" s="62"/>
      <c r="N704" s="62"/>
      <c r="O704" s="62"/>
      <c r="P704" s="62"/>
    </row>
    <row r="705" spans="6:16" ht="15.75" customHeight="1" x14ac:dyDescent="0.2">
      <c r="F705" s="62"/>
      <c r="N705" s="62"/>
      <c r="O705" s="62"/>
      <c r="P705" s="62"/>
    </row>
    <row r="706" spans="6:16" ht="15.75" customHeight="1" x14ac:dyDescent="0.2">
      <c r="F706" s="62"/>
      <c r="N706" s="62"/>
      <c r="O706" s="62"/>
      <c r="P706" s="62"/>
    </row>
    <row r="707" spans="6:16" ht="15.75" customHeight="1" x14ac:dyDescent="0.2">
      <c r="F707" s="62"/>
      <c r="N707" s="62"/>
      <c r="O707" s="62"/>
      <c r="P707" s="62"/>
    </row>
    <row r="708" spans="6:16" ht="15.75" customHeight="1" x14ac:dyDescent="0.2">
      <c r="F708" s="62"/>
      <c r="N708" s="62"/>
      <c r="O708" s="62"/>
      <c r="P708" s="62"/>
    </row>
    <row r="709" spans="6:16" ht="15.75" customHeight="1" x14ac:dyDescent="0.2">
      <c r="F709" s="62"/>
      <c r="N709" s="62"/>
      <c r="O709" s="62"/>
      <c r="P709" s="62"/>
    </row>
    <row r="710" spans="6:16" ht="15.75" customHeight="1" x14ac:dyDescent="0.2">
      <c r="F710" s="62"/>
      <c r="N710" s="62"/>
      <c r="O710" s="62"/>
      <c r="P710" s="62"/>
    </row>
    <row r="711" spans="6:16" ht="15.75" customHeight="1" x14ac:dyDescent="0.2">
      <c r="F711" s="62"/>
      <c r="N711" s="62"/>
      <c r="O711" s="62"/>
      <c r="P711" s="62"/>
    </row>
    <row r="712" spans="6:16" ht="15.75" customHeight="1" x14ac:dyDescent="0.2">
      <c r="F712" s="62"/>
      <c r="N712" s="62"/>
      <c r="O712" s="62"/>
      <c r="P712" s="62"/>
    </row>
    <row r="713" spans="6:16" ht="15.75" customHeight="1" x14ac:dyDescent="0.2">
      <c r="F713" s="62"/>
      <c r="N713" s="62"/>
      <c r="O713" s="62"/>
      <c r="P713" s="62"/>
    </row>
    <row r="714" spans="6:16" ht="15.75" customHeight="1" x14ac:dyDescent="0.2">
      <c r="F714" s="62"/>
      <c r="N714" s="62"/>
      <c r="O714" s="62"/>
      <c r="P714" s="62"/>
    </row>
    <row r="715" spans="6:16" ht="15.75" customHeight="1" x14ac:dyDescent="0.2">
      <c r="F715" s="62"/>
      <c r="N715" s="62"/>
      <c r="O715" s="62"/>
      <c r="P715" s="62"/>
    </row>
    <row r="716" spans="6:16" ht="15.75" customHeight="1" x14ac:dyDescent="0.2">
      <c r="F716" s="62"/>
      <c r="N716" s="62"/>
      <c r="O716" s="62"/>
      <c r="P716" s="62"/>
    </row>
    <row r="717" spans="6:16" ht="15.75" customHeight="1" x14ac:dyDescent="0.2">
      <c r="F717" s="62"/>
      <c r="N717" s="62"/>
      <c r="O717" s="62"/>
      <c r="P717" s="62"/>
    </row>
    <row r="718" spans="6:16" ht="15.75" customHeight="1" x14ac:dyDescent="0.2">
      <c r="F718" s="62"/>
      <c r="N718" s="62"/>
      <c r="O718" s="62"/>
      <c r="P718" s="62"/>
    </row>
    <row r="719" spans="6:16" ht="15.75" customHeight="1" x14ac:dyDescent="0.2">
      <c r="F719" s="62"/>
      <c r="N719" s="62"/>
      <c r="O719" s="62"/>
      <c r="P719" s="62"/>
    </row>
    <row r="720" spans="6:16" ht="15.75" customHeight="1" x14ac:dyDescent="0.2">
      <c r="F720" s="62"/>
      <c r="N720" s="62"/>
      <c r="O720" s="62"/>
      <c r="P720" s="62"/>
    </row>
    <row r="721" spans="6:16" ht="15.75" customHeight="1" x14ac:dyDescent="0.2">
      <c r="F721" s="62"/>
      <c r="N721" s="62"/>
      <c r="O721" s="62"/>
      <c r="P721" s="62"/>
    </row>
    <row r="722" spans="6:16" ht="15.75" customHeight="1" x14ac:dyDescent="0.2">
      <c r="F722" s="62"/>
      <c r="N722" s="62"/>
      <c r="O722" s="62"/>
      <c r="P722" s="62"/>
    </row>
    <row r="723" spans="6:16" ht="15.75" customHeight="1" x14ac:dyDescent="0.2">
      <c r="F723" s="62"/>
      <c r="N723" s="62"/>
      <c r="O723" s="62"/>
      <c r="P723" s="62"/>
    </row>
    <row r="724" spans="6:16" ht="15.75" customHeight="1" x14ac:dyDescent="0.2">
      <c r="F724" s="62"/>
      <c r="N724" s="62"/>
      <c r="O724" s="62"/>
      <c r="P724" s="62"/>
    </row>
    <row r="725" spans="6:16" ht="15.75" customHeight="1" x14ac:dyDescent="0.2">
      <c r="F725" s="62"/>
      <c r="N725" s="62"/>
      <c r="O725" s="62"/>
      <c r="P725" s="62"/>
    </row>
    <row r="726" spans="6:16" ht="15.75" customHeight="1" x14ac:dyDescent="0.2">
      <c r="F726" s="62"/>
      <c r="N726" s="62"/>
      <c r="O726" s="62"/>
      <c r="P726" s="62"/>
    </row>
    <row r="727" spans="6:16" ht="15.75" customHeight="1" x14ac:dyDescent="0.2">
      <c r="F727" s="62"/>
      <c r="N727" s="62"/>
      <c r="O727" s="62"/>
      <c r="P727" s="62"/>
    </row>
    <row r="728" spans="6:16" ht="15.75" customHeight="1" x14ac:dyDescent="0.2">
      <c r="F728" s="62"/>
      <c r="N728" s="62"/>
      <c r="O728" s="62"/>
      <c r="P728" s="62"/>
    </row>
    <row r="729" spans="6:16" ht="15.75" customHeight="1" x14ac:dyDescent="0.2">
      <c r="F729" s="62"/>
      <c r="N729" s="62"/>
      <c r="O729" s="62"/>
      <c r="P729" s="62"/>
    </row>
    <row r="730" spans="6:16" ht="15.75" customHeight="1" x14ac:dyDescent="0.2">
      <c r="F730" s="62"/>
      <c r="N730" s="62"/>
      <c r="O730" s="62"/>
      <c r="P730" s="62"/>
    </row>
    <row r="731" spans="6:16" ht="15.75" customHeight="1" x14ac:dyDescent="0.2">
      <c r="F731" s="62"/>
      <c r="N731" s="62"/>
      <c r="O731" s="62"/>
      <c r="P731" s="62"/>
    </row>
    <row r="732" spans="6:16" ht="15.75" customHeight="1" x14ac:dyDescent="0.2">
      <c r="F732" s="62"/>
      <c r="N732" s="62"/>
      <c r="O732" s="62"/>
      <c r="P732" s="62"/>
    </row>
    <row r="733" spans="6:16" ht="15.75" customHeight="1" x14ac:dyDescent="0.2">
      <c r="F733" s="62"/>
      <c r="N733" s="62"/>
      <c r="O733" s="62"/>
      <c r="P733" s="62"/>
    </row>
    <row r="734" spans="6:16" ht="15.75" customHeight="1" x14ac:dyDescent="0.2">
      <c r="F734" s="62"/>
      <c r="N734" s="62"/>
      <c r="O734" s="62"/>
      <c r="P734" s="62"/>
    </row>
    <row r="735" spans="6:16" ht="15.75" customHeight="1" x14ac:dyDescent="0.2">
      <c r="F735" s="62"/>
      <c r="N735" s="62"/>
      <c r="O735" s="62"/>
      <c r="P735" s="62"/>
    </row>
    <row r="736" spans="6:16" ht="15.75" customHeight="1" x14ac:dyDescent="0.2">
      <c r="F736" s="62"/>
      <c r="N736" s="62"/>
      <c r="O736" s="62"/>
      <c r="P736" s="62"/>
    </row>
    <row r="737" spans="6:16" ht="15.75" customHeight="1" x14ac:dyDescent="0.2">
      <c r="F737" s="62"/>
      <c r="N737" s="62"/>
      <c r="O737" s="62"/>
      <c r="P737" s="62"/>
    </row>
    <row r="738" spans="6:16" ht="15.75" customHeight="1" x14ac:dyDescent="0.2">
      <c r="F738" s="62"/>
      <c r="N738" s="62"/>
      <c r="O738" s="62"/>
      <c r="P738" s="62"/>
    </row>
    <row r="739" spans="6:16" ht="15.75" customHeight="1" x14ac:dyDescent="0.2">
      <c r="F739" s="62"/>
      <c r="N739" s="62"/>
      <c r="O739" s="62"/>
      <c r="P739" s="62"/>
    </row>
    <row r="740" spans="6:16" ht="15.75" customHeight="1" x14ac:dyDescent="0.2">
      <c r="F740" s="62"/>
      <c r="N740" s="62"/>
      <c r="O740" s="62"/>
      <c r="P740" s="62"/>
    </row>
    <row r="741" spans="6:16" ht="15.75" customHeight="1" x14ac:dyDescent="0.2">
      <c r="F741" s="62"/>
      <c r="N741" s="62"/>
      <c r="O741" s="62"/>
      <c r="P741" s="62"/>
    </row>
    <row r="742" spans="6:16" ht="15.75" customHeight="1" x14ac:dyDescent="0.2">
      <c r="F742" s="62"/>
      <c r="N742" s="62"/>
      <c r="O742" s="62"/>
      <c r="P742" s="62"/>
    </row>
    <row r="743" spans="6:16" ht="15.75" customHeight="1" x14ac:dyDescent="0.2">
      <c r="F743" s="62"/>
      <c r="N743" s="62"/>
      <c r="O743" s="62"/>
      <c r="P743" s="62"/>
    </row>
    <row r="744" spans="6:16" ht="15.75" customHeight="1" x14ac:dyDescent="0.2">
      <c r="F744" s="62"/>
      <c r="N744" s="62"/>
      <c r="O744" s="62"/>
      <c r="P744" s="62"/>
    </row>
    <row r="745" spans="6:16" ht="15.75" customHeight="1" x14ac:dyDescent="0.2">
      <c r="F745" s="62"/>
      <c r="N745" s="62"/>
      <c r="O745" s="62"/>
      <c r="P745" s="62"/>
    </row>
    <row r="746" spans="6:16" ht="15.75" customHeight="1" x14ac:dyDescent="0.2">
      <c r="F746" s="62"/>
      <c r="N746" s="62"/>
      <c r="O746" s="62"/>
      <c r="P746" s="62"/>
    </row>
    <row r="747" spans="6:16" ht="15.75" customHeight="1" x14ac:dyDescent="0.2">
      <c r="F747" s="62"/>
      <c r="N747" s="62"/>
      <c r="O747" s="62"/>
      <c r="P747" s="62"/>
    </row>
    <row r="748" spans="6:16" ht="15.75" customHeight="1" x14ac:dyDescent="0.2">
      <c r="F748" s="62"/>
      <c r="N748" s="62"/>
      <c r="O748" s="62"/>
      <c r="P748" s="62"/>
    </row>
    <row r="749" spans="6:16" ht="15.75" customHeight="1" x14ac:dyDescent="0.2">
      <c r="F749" s="62"/>
      <c r="N749" s="62"/>
      <c r="O749" s="62"/>
      <c r="P749" s="62"/>
    </row>
    <row r="750" spans="6:16" ht="15.75" customHeight="1" x14ac:dyDescent="0.2">
      <c r="F750" s="62"/>
      <c r="N750" s="62"/>
      <c r="O750" s="62"/>
      <c r="P750" s="62"/>
    </row>
    <row r="751" spans="6:16" ht="15.75" customHeight="1" x14ac:dyDescent="0.2">
      <c r="F751" s="62"/>
      <c r="N751" s="62"/>
      <c r="O751" s="62"/>
      <c r="P751" s="62"/>
    </row>
    <row r="752" spans="6:16" ht="15.75" customHeight="1" x14ac:dyDescent="0.2">
      <c r="F752" s="62"/>
      <c r="N752" s="62"/>
      <c r="O752" s="62"/>
      <c r="P752" s="62"/>
    </row>
    <row r="753" spans="6:16" ht="15.75" customHeight="1" x14ac:dyDescent="0.2">
      <c r="F753" s="62"/>
      <c r="N753" s="62"/>
      <c r="O753" s="62"/>
      <c r="P753" s="62"/>
    </row>
    <row r="754" spans="6:16" ht="15.75" customHeight="1" x14ac:dyDescent="0.2">
      <c r="F754" s="62"/>
      <c r="N754" s="62"/>
      <c r="O754" s="62"/>
      <c r="P754" s="62"/>
    </row>
    <row r="755" spans="6:16" ht="15.75" customHeight="1" x14ac:dyDescent="0.2">
      <c r="F755" s="62"/>
      <c r="N755" s="62"/>
      <c r="O755" s="62"/>
      <c r="P755" s="62"/>
    </row>
    <row r="756" spans="6:16" ht="15.75" customHeight="1" x14ac:dyDescent="0.2">
      <c r="F756" s="62"/>
      <c r="N756" s="62"/>
      <c r="O756" s="62"/>
      <c r="P756" s="62"/>
    </row>
    <row r="757" spans="6:16" ht="15.75" customHeight="1" x14ac:dyDescent="0.2">
      <c r="F757" s="62"/>
      <c r="N757" s="62"/>
      <c r="O757" s="62"/>
      <c r="P757" s="62"/>
    </row>
    <row r="758" spans="6:16" ht="15.75" customHeight="1" x14ac:dyDescent="0.2">
      <c r="F758" s="62"/>
      <c r="N758" s="62"/>
      <c r="O758" s="62"/>
      <c r="P758" s="62"/>
    </row>
    <row r="759" spans="6:16" ht="15.75" customHeight="1" x14ac:dyDescent="0.2">
      <c r="F759" s="62"/>
      <c r="N759" s="62"/>
      <c r="O759" s="62"/>
      <c r="P759" s="62"/>
    </row>
    <row r="760" spans="6:16" ht="15.75" customHeight="1" x14ac:dyDescent="0.2">
      <c r="F760" s="62"/>
      <c r="N760" s="62"/>
      <c r="O760" s="62"/>
      <c r="P760" s="62"/>
    </row>
    <row r="761" spans="6:16" ht="15.75" customHeight="1" x14ac:dyDescent="0.2">
      <c r="F761" s="62"/>
      <c r="N761" s="62"/>
      <c r="O761" s="62"/>
      <c r="P761" s="62"/>
    </row>
    <row r="762" spans="6:16" ht="15.75" customHeight="1" x14ac:dyDescent="0.2">
      <c r="F762" s="62"/>
      <c r="N762" s="62"/>
      <c r="O762" s="62"/>
      <c r="P762" s="62"/>
    </row>
    <row r="763" spans="6:16" ht="15.75" customHeight="1" x14ac:dyDescent="0.2">
      <c r="F763" s="62"/>
      <c r="N763" s="62"/>
      <c r="O763" s="62"/>
      <c r="P763" s="62"/>
    </row>
    <row r="764" spans="6:16" ht="15.75" customHeight="1" x14ac:dyDescent="0.2">
      <c r="F764" s="62"/>
      <c r="N764" s="62"/>
      <c r="O764" s="62"/>
      <c r="P764" s="62"/>
    </row>
    <row r="765" spans="6:16" ht="15.75" customHeight="1" x14ac:dyDescent="0.2">
      <c r="F765" s="62"/>
      <c r="N765" s="62"/>
      <c r="O765" s="62"/>
      <c r="P765" s="62"/>
    </row>
    <row r="766" spans="6:16" ht="15.75" customHeight="1" x14ac:dyDescent="0.2">
      <c r="F766" s="62"/>
      <c r="N766" s="62"/>
      <c r="O766" s="62"/>
      <c r="P766" s="62"/>
    </row>
    <row r="767" spans="6:16" ht="15.75" customHeight="1" x14ac:dyDescent="0.2">
      <c r="F767" s="62"/>
      <c r="N767" s="62"/>
      <c r="O767" s="62"/>
      <c r="P767" s="62"/>
    </row>
    <row r="768" spans="6:16" ht="15.75" customHeight="1" x14ac:dyDescent="0.2">
      <c r="F768" s="62"/>
      <c r="N768" s="62"/>
      <c r="O768" s="62"/>
      <c r="P768" s="62"/>
    </row>
    <row r="769" spans="6:16" ht="15.75" customHeight="1" x14ac:dyDescent="0.2">
      <c r="F769" s="62"/>
      <c r="N769" s="62"/>
      <c r="O769" s="62"/>
      <c r="P769" s="62"/>
    </row>
    <row r="770" spans="6:16" ht="15.75" customHeight="1" x14ac:dyDescent="0.2">
      <c r="F770" s="62"/>
      <c r="N770" s="62"/>
      <c r="O770" s="62"/>
      <c r="P770" s="62"/>
    </row>
    <row r="771" spans="6:16" ht="15.75" customHeight="1" x14ac:dyDescent="0.2">
      <c r="F771" s="62"/>
      <c r="N771" s="62"/>
      <c r="O771" s="62"/>
      <c r="P771" s="62"/>
    </row>
    <row r="772" spans="6:16" ht="15.75" customHeight="1" x14ac:dyDescent="0.2">
      <c r="F772" s="62"/>
      <c r="N772" s="62"/>
      <c r="O772" s="62"/>
      <c r="P772" s="62"/>
    </row>
    <row r="773" spans="6:16" ht="15.75" customHeight="1" x14ac:dyDescent="0.2">
      <c r="F773" s="62"/>
      <c r="N773" s="62"/>
      <c r="O773" s="62"/>
      <c r="P773" s="62"/>
    </row>
    <row r="774" spans="6:16" ht="15.75" customHeight="1" x14ac:dyDescent="0.2">
      <c r="F774" s="62"/>
      <c r="N774" s="62"/>
      <c r="O774" s="62"/>
      <c r="P774" s="62"/>
    </row>
    <row r="775" spans="6:16" ht="15.75" customHeight="1" x14ac:dyDescent="0.2">
      <c r="F775" s="62"/>
      <c r="N775" s="62"/>
      <c r="O775" s="62"/>
      <c r="P775" s="62"/>
    </row>
    <row r="776" spans="6:16" ht="15.75" customHeight="1" x14ac:dyDescent="0.2">
      <c r="F776" s="62"/>
      <c r="N776" s="62"/>
      <c r="O776" s="62"/>
      <c r="P776" s="62"/>
    </row>
    <row r="777" spans="6:16" ht="15.75" customHeight="1" x14ac:dyDescent="0.2">
      <c r="F777" s="62"/>
      <c r="N777" s="62"/>
      <c r="O777" s="62"/>
      <c r="P777" s="62"/>
    </row>
    <row r="778" spans="6:16" ht="15.75" customHeight="1" x14ac:dyDescent="0.2">
      <c r="F778" s="62"/>
      <c r="N778" s="62"/>
      <c r="O778" s="62"/>
      <c r="P778" s="62"/>
    </row>
    <row r="779" spans="6:16" ht="15.75" customHeight="1" x14ac:dyDescent="0.2">
      <c r="F779" s="62"/>
      <c r="N779" s="62"/>
      <c r="O779" s="62"/>
      <c r="P779" s="62"/>
    </row>
    <row r="780" spans="6:16" ht="15.75" customHeight="1" x14ac:dyDescent="0.2">
      <c r="F780" s="62"/>
      <c r="N780" s="62"/>
      <c r="O780" s="62"/>
      <c r="P780" s="62"/>
    </row>
    <row r="781" spans="6:16" ht="15.75" customHeight="1" x14ac:dyDescent="0.2">
      <c r="F781" s="62"/>
      <c r="N781" s="62"/>
      <c r="O781" s="62"/>
      <c r="P781" s="62"/>
    </row>
    <row r="782" spans="6:16" ht="15.75" customHeight="1" x14ac:dyDescent="0.2">
      <c r="F782" s="62"/>
      <c r="N782" s="62"/>
      <c r="O782" s="62"/>
      <c r="P782" s="62"/>
    </row>
    <row r="783" spans="6:16" ht="15.75" customHeight="1" x14ac:dyDescent="0.2">
      <c r="F783" s="62"/>
      <c r="N783" s="62"/>
      <c r="O783" s="62"/>
      <c r="P783" s="62"/>
    </row>
    <row r="784" spans="6:16" ht="15.75" customHeight="1" x14ac:dyDescent="0.2">
      <c r="F784" s="62"/>
      <c r="N784" s="62"/>
      <c r="O784" s="62"/>
      <c r="P784" s="62"/>
    </row>
    <row r="785" spans="6:16" ht="15.75" customHeight="1" x14ac:dyDescent="0.2">
      <c r="F785" s="62"/>
      <c r="N785" s="62"/>
      <c r="O785" s="62"/>
      <c r="P785" s="62"/>
    </row>
    <row r="786" spans="6:16" ht="15.75" customHeight="1" x14ac:dyDescent="0.2">
      <c r="F786" s="62"/>
      <c r="N786" s="62"/>
      <c r="O786" s="62"/>
      <c r="P786" s="62"/>
    </row>
    <row r="787" spans="6:16" ht="15.75" customHeight="1" x14ac:dyDescent="0.2">
      <c r="F787" s="62"/>
      <c r="N787" s="62"/>
      <c r="O787" s="62"/>
      <c r="P787" s="62"/>
    </row>
    <row r="788" spans="6:16" ht="15.75" customHeight="1" x14ac:dyDescent="0.2">
      <c r="F788" s="62"/>
      <c r="N788" s="62"/>
      <c r="O788" s="62"/>
      <c r="P788" s="62"/>
    </row>
    <row r="789" spans="6:16" ht="15.75" customHeight="1" x14ac:dyDescent="0.2">
      <c r="F789" s="62"/>
      <c r="N789" s="62"/>
      <c r="O789" s="62"/>
      <c r="P789" s="62"/>
    </row>
    <row r="790" spans="6:16" ht="15.75" customHeight="1" x14ac:dyDescent="0.2">
      <c r="F790" s="62"/>
      <c r="N790" s="62"/>
      <c r="O790" s="62"/>
      <c r="P790" s="62"/>
    </row>
    <row r="791" spans="6:16" ht="15.75" customHeight="1" x14ac:dyDescent="0.2">
      <c r="F791" s="62"/>
      <c r="N791" s="62"/>
      <c r="O791" s="62"/>
      <c r="P791" s="62"/>
    </row>
    <row r="792" spans="6:16" ht="15.75" customHeight="1" x14ac:dyDescent="0.2">
      <c r="F792" s="62"/>
      <c r="N792" s="62"/>
      <c r="O792" s="62"/>
      <c r="P792" s="62"/>
    </row>
    <row r="793" spans="6:16" ht="15.75" customHeight="1" x14ac:dyDescent="0.2">
      <c r="F793" s="62"/>
      <c r="N793" s="62"/>
      <c r="O793" s="62"/>
      <c r="P793" s="62"/>
    </row>
    <row r="794" spans="6:16" ht="15.75" customHeight="1" x14ac:dyDescent="0.2">
      <c r="F794" s="62"/>
      <c r="N794" s="62"/>
      <c r="O794" s="62"/>
      <c r="P794" s="62"/>
    </row>
    <row r="795" spans="6:16" ht="15.75" customHeight="1" x14ac:dyDescent="0.2">
      <c r="F795" s="62"/>
      <c r="N795" s="62"/>
      <c r="O795" s="62"/>
      <c r="P795" s="62"/>
    </row>
    <row r="796" spans="6:16" ht="15.75" customHeight="1" x14ac:dyDescent="0.2">
      <c r="F796" s="62"/>
      <c r="N796" s="62"/>
      <c r="O796" s="62"/>
      <c r="P796" s="62"/>
    </row>
    <row r="797" spans="6:16" ht="15.75" customHeight="1" x14ac:dyDescent="0.2">
      <c r="F797" s="62"/>
      <c r="N797" s="62"/>
      <c r="O797" s="62"/>
      <c r="P797" s="62"/>
    </row>
    <row r="798" spans="6:16" ht="15.75" customHeight="1" x14ac:dyDescent="0.2">
      <c r="F798" s="62"/>
      <c r="N798" s="62"/>
      <c r="O798" s="62"/>
      <c r="P798" s="62"/>
    </row>
    <row r="799" spans="6:16" ht="15.75" customHeight="1" x14ac:dyDescent="0.2">
      <c r="F799" s="62"/>
      <c r="N799" s="62"/>
      <c r="O799" s="62"/>
      <c r="P799" s="62"/>
    </row>
    <row r="800" spans="6:16" ht="15.75" customHeight="1" x14ac:dyDescent="0.2">
      <c r="F800" s="62"/>
      <c r="N800" s="62"/>
      <c r="O800" s="62"/>
      <c r="P800" s="62"/>
    </row>
    <row r="801" spans="6:16" ht="15.75" customHeight="1" x14ac:dyDescent="0.2">
      <c r="F801" s="62"/>
      <c r="N801" s="62"/>
      <c r="O801" s="62"/>
      <c r="P801" s="62"/>
    </row>
    <row r="802" spans="6:16" ht="15.75" customHeight="1" x14ac:dyDescent="0.2">
      <c r="F802" s="62"/>
      <c r="N802" s="62"/>
      <c r="O802" s="62"/>
      <c r="P802" s="62"/>
    </row>
    <row r="803" spans="6:16" ht="15.75" customHeight="1" x14ac:dyDescent="0.2">
      <c r="F803" s="62"/>
      <c r="N803" s="62"/>
      <c r="O803" s="62"/>
      <c r="P803" s="62"/>
    </row>
    <row r="804" spans="6:16" ht="15.75" customHeight="1" x14ac:dyDescent="0.2">
      <c r="F804" s="62"/>
      <c r="N804" s="62"/>
      <c r="O804" s="62"/>
      <c r="P804" s="62"/>
    </row>
    <row r="805" spans="6:16" ht="15.75" customHeight="1" x14ac:dyDescent="0.2">
      <c r="F805" s="62"/>
      <c r="N805" s="62"/>
      <c r="O805" s="62"/>
      <c r="P805" s="62"/>
    </row>
    <row r="806" spans="6:16" ht="15.75" customHeight="1" x14ac:dyDescent="0.2">
      <c r="F806" s="62"/>
      <c r="N806" s="62"/>
      <c r="O806" s="62"/>
      <c r="P806" s="62"/>
    </row>
    <row r="807" spans="6:16" ht="15.75" customHeight="1" x14ac:dyDescent="0.2">
      <c r="F807" s="62"/>
      <c r="N807" s="62"/>
      <c r="O807" s="62"/>
      <c r="P807" s="62"/>
    </row>
    <row r="808" spans="6:16" ht="15.75" customHeight="1" x14ac:dyDescent="0.2">
      <c r="F808" s="62"/>
      <c r="N808" s="62"/>
      <c r="O808" s="62"/>
      <c r="P808" s="62"/>
    </row>
    <row r="809" spans="6:16" ht="15.75" customHeight="1" x14ac:dyDescent="0.2">
      <c r="F809" s="62"/>
      <c r="N809" s="62"/>
      <c r="O809" s="62"/>
      <c r="P809" s="62"/>
    </row>
    <row r="810" spans="6:16" ht="15.75" customHeight="1" x14ac:dyDescent="0.2">
      <c r="F810" s="62"/>
      <c r="N810" s="62"/>
      <c r="O810" s="62"/>
      <c r="P810" s="62"/>
    </row>
    <row r="811" spans="6:16" ht="15.75" customHeight="1" x14ac:dyDescent="0.2">
      <c r="F811" s="62"/>
      <c r="N811" s="62"/>
      <c r="O811" s="62"/>
      <c r="P811" s="62"/>
    </row>
    <row r="812" spans="6:16" ht="15.75" customHeight="1" x14ac:dyDescent="0.2">
      <c r="F812" s="62"/>
      <c r="N812" s="62"/>
      <c r="O812" s="62"/>
      <c r="P812" s="62"/>
    </row>
    <row r="813" spans="6:16" ht="15.75" customHeight="1" x14ac:dyDescent="0.2">
      <c r="F813" s="62"/>
      <c r="N813" s="62"/>
      <c r="O813" s="62"/>
      <c r="P813" s="62"/>
    </row>
    <row r="814" spans="6:16" ht="15.75" customHeight="1" x14ac:dyDescent="0.2">
      <c r="F814" s="62"/>
      <c r="N814" s="62"/>
      <c r="O814" s="62"/>
      <c r="P814" s="62"/>
    </row>
    <row r="815" spans="6:16" ht="15.75" customHeight="1" x14ac:dyDescent="0.2">
      <c r="F815" s="62"/>
      <c r="N815" s="62"/>
      <c r="O815" s="62"/>
      <c r="P815" s="62"/>
    </row>
    <row r="816" spans="6:16" ht="15.75" customHeight="1" x14ac:dyDescent="0.2">
      <c r="F816" s="62"/>
      <c r="N816" s="62"/>
      <c r="O816" s="62"/>
      <c r="P816" s="62"/>
    </row>
    <row r="817" spans="6:16" ht="15.75" customHeight="1" x14ac:dyDescent="0.2">
      <c r="F817" s="62"/>
      <c r="N817" s="62"/>
      <c r="O817" s="62"/>
      <c r="P817" s="62"/>
    </row>
    <row r="818" spans="6:16" ht="15.75" customHeight="1" x14ac:dyDescent="0.2">
      <c r="F818" s="62"/>
      <c r="N818" s="62"/>
      <c r="O818" s="62"/>
      <c r="P818" s="62"/>
    </row>
    <row r="819" spans="6:16" ht="15.75" customHeight="1" x14ac:dyDescent="0.2">
      <c r="F819" s="62"/>
      <c r="N819" s="62"/>
      <c r="O819" s="62"/>
      <c r="P819" s="62"/>
    </row>
    <row r="820" spans="6:16" ht="15.75" customHeight="1" x14ac:dyDescent="0.2">
      <c r="F820" s="62"/>
      <c r="N820" s="62"/>
      <c r="O820" s="62"/>
      <c r="P820" s="62"/>
    </row>
    <row r="821" spans="6:16" ht="15.75" customHeight="1" x14ac:dyDescent="0.2">
      <c r="F821" s="62"/>
      <c r="N821" s="62"/>
      <c r="O821" s="62"/>
      <c r="P821" s="62"/>
    </row>
    <row r="822" spans="6:16" ht="15.75" customHeight="1" x14ac:dyDescent="0.2">
      <c r="F822" s="62"/>
      <c r="N822" s="62"/>
      <c r="O822" s="62"/>
      <c r="P822" s="62"/>
    </row>
    <row r="823" spans="6:16" ht="15.75" customHeight="1" x14ac:dyDescent="0.2">
      <c r="F823" s="62"/>
      <c r="N823" s="62"/>
      <c r="O823" s="62"/>
      <c r="P823" s="62"/>
    </row>
    <row r="824" spans="6:16" ht="15.75" customHeight="1" x14ac:dyDescent="0.2">
      <c r="F824" s="62"/>
      <c r="N824" s="62"/>
      <c r="O824" s="62"/>
      <c r="P824" s="62"/>
    </row>
    <row r="825" spans="6:16" ht="15.75" customHeight="1" x14ac:dyDescent="0.2">
      <c r="F825" s="62"/>
      <c r="N825" s="62"/>
      <c r="O825" s="62"/>
      <c r="P825" s="62"/>
    </row>
    <row r="826" spans="6:16" ht="15.75" customHeight="1" x14ac:dyDescent="0.2">
      <c r="F826" s="62"/>
      <c r="N826" s="62"/>
      <c r="O826" s="62"/>
      <c r="P826" s="62"/>
    </row>
    <row r="827" spans="6:16" ht="15.75" customHeight="1" x14ac:dyDescent="0.2">
      <c r="F827" s="62"/>
      <c r="N827" s="62"/>
      <c r="O827" s="62"/>
      <c r="P827" s="62"/>
    </row>
    <row r="828" spans="6:16" ht="15.75" customHeight="1" x14ac:dyDescent="0.2">
      <c r="F828" s="62"/>
      <c r="N828" s="62"/>
      <c r="O828" s="62"/>
      <c r="P828" s="62"/>
    </row>
    <row r="829" spans="6:16" ht="15.75" customHeight="1" x14ac:dyDescent="0.2">
      <c r="F829" s="62"/>
      <c r="N829" s="62"/>
      <c r="O829" s="62"/>
      <c r="P829" s="62"/>
    </row>
    <row r="830" spans="6:16" ht="15.75" customHeight="1" x14ac:dyDescent="0.2">
      <c r="F830" s="62"/>
      <c r="N830" s="62"/>
      <c r="O830" s="62"/>
      <c r="P830" s="62"/>
    </row>
    <row r="831" spans="6:16" ht="15.75" customHeight="1" x14ac:dyDescent="0.2">
      <c r="F831" s="62"/>
      <c r="N831" s="62"/>
      <c r="O831" s="62"/>
      <c r="P831" s="62"/>
    </row>
    <row r="832" spans="6:16" ht="15.75" customHeight="1" x14ac:dyDescent="0.2">
      <c r="F832" s="62"/>
      <c r="N832" s="62"/>
      <c r="O832" s="62"/>
      <c r="P832" s="62"/>
    </row>
    <row r="833" spans="6:16" ht="15.75" customHeight="1" x14ac:dyDescent="0.2">
      <c r="F833" s="62"/>
      <c r="N833" s="62"/>
      <c r="O833" s="62"/>
      <c r="P833" s="62"/>
    </row>
    <row r="834" spans="6:16" ht="15.75" customHeight="1" x14ac:dyDescent="0.2">
      <c r="F834" s="62"/>
      <c r="N834" s="62"/>
      <c r="O834" s="62"/>
      <c r="P834" s="62"/>
    </row>
    <row r="835" spans="6:16" ht="15.75" customHeight="1" x14ac:dyDescent="0.2">
      <c r="F835" s="62"/>
      <c r="N835" s="62"/>
      <c r="O835" s="62"/>
      <c r="P835" s="62"/>
    </row>
    <row r="836" spans="6:16" ht="15.75" customHeight="1" x14ac:dyDescent="0.2">
      <c r="F836" s="62"/>
      <c r="N836" s="62"/>
      <c r="O836" s="62"/>
      <c r="P836" s="62"/>
    </row>
    <row r="837" spans="6:16" ht="15.75" customHeight="1" x14ac:dyDescent="0.2">
      <c r="F837" s="62"/>
      <c r="N837" s="62"/>
      <c r="O837" s="62"/>
      <c r="P837" s="62"/>
    </row>
    <row r="838" spans="6:16" ht="15.75" customHeight="1" x14ac:dyDescent="0.2">
      <c r="F838" s="62"/>
      <c r="N838" s="62"/>
      <c r="O838" s="62"/>
      <c r="P838" s="62"/>
    </row>
    <row r="839" spans="6:16" ht="15.75" customHeight="1" x14ac:dyDescent="0.2">
      <c r="F839" s="62"/>
      <c r="N839" s="62"/>
      <c r="O839" s="62"/>
      <c r="P839" s="62"/>
    </row>
    <row r="840" spans="6:16" ht="15.75" customHeight="1" x14ac:dyDescent="0.2">
      <c r="F840" s="62"/>
      <c r="N840" s="62"/>
      <c r="O840" s="62"/>
      <c r="P840" s="62"/>
    </row>
    <row r="841" spans="6:16" ht="15.75" customHeight="1" x14ac:dyDescent="0.2">
      <c r="F841" s="62"/>
      <c r="N841" s="62"/>
      <c r="O841" s="62"/>
      <c r="P841" s="62"/>
    </row>
    <row r="842" spans="6:16" ht="15.75" customHeight="1" x14ac:dyDescent="0.2">
      <c r="F842" s="62"/>
      <c r="N842" s="62"/>
      <c r="O842" s="62"/>
      <c r="P842" s="62"/>
    </row>
    <row r="843" spans="6:16" ht="15.75" customHeight="1" x14ac:dyDescent="0.2">
      <c r="F843" s="62"/>
      <c r="N843" s="62"/>
      <c r="O843" s="62"/>
      <c r="P843" s="62"/>
    </row>
    <row r="844" spans="6:16" ht="15.75" customHeight="1" x14ac:dyDescent="0.2">
      <c r="F844" s="62"/>
      <c r="N844" s="62"/>
      <c r="O844" s="62"/>
      <c r="P844" s="62"/>
    </row>
    <row r="845" spans="6:16" ht="15.75" customHeight="1" x14ac:dyDescent="0.2">
      <c r="F845" s="62"/>
      <c r="N845" s="62"/>
      <c r="O845" s="62"/>
      <c r="P845" s="62"/>
    </row>
    <row r="846" spans="6:16" ht="15.75" customHeight="1" x14ac:dyDescent="0.2">
      <c r="F846" s="62"/>
      <c r="N846" s="62"/>
      <c r="O846" s="62"/>
      <c r="P846" s="62"/>
    </row>
    <row r="847" spans="6:16" ht="15.75" customHeight="1" x14ac:dyDescent="0.2">
      <c r="F847" s="62"/>
      <c r="N847" s="62"/>
      <c r="O847" s="62"/>
      <c r="P847" s="62"/>
    </row>
    <row r="848" spans="6:16" ht="15.75" customHeight="1" x14ac:dyDescent="0.2">
      <c r="F848" s="62"/>
      <c r="N848" s="62"/>
      <c r="O848" s="62"/>
      <c r="P848" s="62"/>
    </row>
    <row r="849" spans="6:16" ht="15.75" customHeight="1" x14ac:dyDescent="0.2">
      <c r="F849" s="62"/>
      <c r="N849" s="62"/>
      <c r="O849" s="62"/>
      <c r="P849" s="62"/>
    </row>
    <row r="850" spans="6:16" ht="15.75" customHeight="1" x14ac:dyDescent="0.2">
      <c r="F850" s="62"/>
      <c r="N850" s="62"/>
      <c r="O850" s="62"/>
      <c r="P850" s="62"/>
    </row>
    <row r="851" spans="6:16" ht="15.75" customHeight="1" x14ac:dyDescent="0.2">
      <c r="F851" s="62"/>
      <c r="N851" s="62"/>
      <c r="O851" s="62"/>
      <c r="P851" s="62"/>
    </row>
    <row r="852" spans="6:16" ht="15.75" customHeight="1" x14ac:dyDescent="0.2">
      <c r="F852" s="62"/>
      <c r="N852" s="62"/>
      <c r="O852" s="62"/>
      <c r="P852" s="62"/>
    </row>
    <row r="853" spans="6:16" ht="15.75" customHeight="1" x14ac:dyDescent="0.2">
      <c r="F853" s="62"/>
      <c r="N853" s="62"/>
      <c r="O853" s="62"/>
      <c r="P853" s="62"/>
    </row>
    <row r="854" spans="6:16" ht="15.75" customHeight="1" x14ac:dyDescent="0.2">
      <c r="F854" s="62"/>
      <c r="N854" s="62"/>
      <c r="O854" s="62"/>
      <c r="P854" s="62"/>
    </row>
    <row r="855" spans="6:16" ht="15.75" customHeight="1" x14ac:dyDescent="0.2">
      <c r="F855" s="62"/>
      <c r="N855" s="62"/>
      <c r="O855" s="62"/>
      <c r="P855" s="62"/>
    </row>
    <row r="856" spans="6:16" ht="15.75" customHeight="1" x14ac:dyDescent="0.2">
      <c r="F856" s="62"/>
      <c r="N856" s="62"/>
      <c r="O856" s="62"/>
      <c r="P856" s="62"/>
    </row>
    <row r="857" spans="6:16" ht="15.75" customHeight="1" x14ac:dyDescent="0.2">
      <c r="F857" s="62"/>
      <c r="N857" s="62"/>
      <c r="O857" s="62"/>
      <c r="P857" s="62"/>
    </row>
    <row r="858" spans="6:16" ht="15.75" customHeight="1" x14ac:dyDescent="0.2">
      <c r="F858" s="62"/>
      <c r="N858" s="62"/>
      <c r="O858" s="62"/>
      <c r="P858" s="62"/>
    </row>
    <row r="859" spans="6:16" ht="15.75" customHeight="1" x14ac:dyDescent="0.2">
      <c r="F859" s="62"/>
      <c r="N859" s="62"/>
      <c r="O859" s="62"/>
      <c r="P859" s="62"/>
    </row>
    <row r="860" spans="6:16" ht="15.75" customHeight="1" x14ac:dyDescent="0.2">
      <c r="F860" s="62"/>
      <c r="N860" s="62"/>
      <c r="O860" s="62"/>
      <c r="P860" s="62"/>
    </row>
    <row r="861" spans="6:16" ht="15.75" customHeight="1" x14ac:dyDescent="0.2">
      <c r="F861" s="62"/>
      <c r="N861" s="62"/>
      <c r="O861" s="62"/>
      <c r="P861" s="62"/>
    </row>
    <row r="862" spans="6:16" ht="15.75" customHeight="1" x14ac:dyDescent="0.2">
      <c r="F862" s="62"/>
      <c r="N862" s="62"/>
      <c r="O862" s="62"/>
      <c r="P862" s="62"/>
    </row>
    <row r="863" spans="6:16" ht="15.75" customHeight="1" x14ac:dyDescent="0.2">
      <c r="F863" s="62"/>
      <c r="N863" s="62"/>
      <c r="O863" s="62"/>
      <c r="P863" s="62"/>
    </row>
    <row r="864" spans="6:16" ht="15.75" customHeight="1" x14ac:dyDescent="0.2">
      <c r="F864" s="62"/>
      <c r="N864" s="62"/>
      <c r="O864" s="62"/>
      <c r="P864" s="62"/>
    </row>
    <row r="865" spans="6:16" ht="15.75" customHeight="1" x14ac:dyDescent="0.2">
      <c r="F865" s="62"/>
      <c r="N865" s="62"/>
      <c r="O865" s="62"/>
      <c r="P865" s="62"/>
    </row>
    <row r="866" spans="6:16" ht="15.75" customHeight="1" x14ac:dyDescent="0.2">
      <c r="F866" s="62"/>
      <c r="N866" s="62"/>
      <c r="O866" s="62"/>
      <c r="P866" s="62"/>
    </row>
    <row r="867" spans="6:16" ht="15.75" customHeight="1" x14ac:dyDescent="0.2">
      <c r="F867" s="62"/>
      <c r="N867" s="62"/>
      <c r="O867" s="62"/>
      <c r="P867" s="62"/>
    </row>
    <row r="868" spans="6:16" ht="15.75" customHeight="1" x14ac:dyDescent="0.2">
      <c r="F868" s="62"/>
      <c r="N868" s="62"/>
      <c r="O868" s="62"/>
      <c r="P868" s="62"/>
    </row>
    <row r="869" spans="6:16" ht="15.75" customHeight="1" x14ac:dyDescent="0.2">
      <c r="F869" s="62"/>
      <c r="N869" s="62"/>
      <c r="O869" s="62"/>
      <c r="P869" s="62"/>
    </row>
    <row r="870" spans="6:16" ht="15.75" customHeight="1" x14ac:dyDescent="0.2">
      <c r="F870" s="62"/>
      <c r="N870" s="62"/>
      <c r="O870" s="62"/>
      <c r="P870" s="62"/>
    </row>
    <row r="871" spans="6:16" ht="15.75" customHeight="1" x14ac:dyDescent="0.2">
      <c r="F871" s="62"/>
      <c r="N871" s="62"/>
      <c r="O871" s="62"/>
      <c r="P871" s="62"/>
    </row>
    <row r="872" spans="6:16" ht="15.75" customHeight="1" x14ac:dyDescent="0.2">
      <c r="F872" s="62"/>
      <c r="N872" s="62"/>
      <c r="O872" s="62"/>
      <c r="P872" s="62"/>
    </row>
    <row r="873" spans="6:16" ht="15.75" customHeight="1" x14ac:dyDescent="0.2">
      <c r="F873" s="62"/>
      <c r="N873" s="62"/>
      <c r="O873" s="62"/>
      <c r="P873" s="62"/>
    </row>
    <row r="874" spans="6:16" ht="15.75" customHeight="1" x14ac:dyDescent="0.2">
      <c r="F874" s="62"/>
      <c r="N874" s="62"/>
      <c r="O874" s="62"/>
      <c r="P874" s="62"/>
    </row>
    <row r="875" spans="6:16" ht="15.75" customHeight="1" x14ac:dyDescent="0.2">
      <c r="F875" s="62"/>
      <c r="N875" s="62"/>
      <c r="O875" s="62"/>
      <c r="P875" s="62"/>
    </row>
    <row r="876" spans="6:16" ht="15.75" customHeight="1" x14ac:dyDescent="0.2">
      <c r="F876" s="62"/>
      <c r="N876" s="62"/>
      <c r="O876" s="62"/>
      <c r="P876" s="62"/>
    </row>
    <row r="877" spans="6:16" ht="15.75" customHeight="1" x14ac:dyDescent="0.2">
      <c r="F877" s="62"/>
      <c r="N877" s="62"/>
      <c r="O877" s="62"/>
      <c r="P877" s="62"/>
    </row>
    <row r="878" spans="6:16" ht="15.75" customHeight="1" x14ac:dyDescent="0.2">
      <c r="F878" s="62"/>
      <c r="N878" s="62"/>
      <c r="O878" s="62"/>
      <c r="P878" s="62"/>
    </row>
    <row r="879" spans="6:16" ht="15.75" customHeight="1" x14ac:dyDescent="0.2">
      <c r="F879" s="62"/>
      <c r="N879" s="62"/>
      <c r="O879" s="62"/>
      <c r="P879" s="62"/>
    </row>
    <row r="880" spans="6:16" ht="15.75" customHeight="1" x14ac:dyDescent="0.2">
      <c r="F880" s="62"/>
      <c r="N880" s="62"/>
      <c r="O880" s="62"/>
      <c r="P880" s="62"/>
    </row>
    <row r="881" spans="6:16" ht="15.75" customHeight="1" x14ac:dyDescent="0.2">
      <c r="F881" s="62"/>
      <c r="N881" s="62"/>
      <c r="O881" s="62"/>
      <c r="P881" s="62"/>
    </row>
    <row r="882" spans="6:16" ht="15.75" customHeight="1" x14ac:dyDescent="0.2">
      <c r="F882" s="62"/>
      <c r="N882" s="62"/>
      <c r="O882" s="62"/>
      <c r="P882" s="62"/>
    </row>
    <row r="883" spans="6:16" ht="15.75" customHeight="1" x14ac:dyDescent="0.2">
      <c r="F883" s="62"/>
      <c r="N883" s="62"/>
      <c r="O883" s="62"/>
      <c r="P883" s="62"/>
    </row>
    <row r="884" spans="6:16" ht="15.75" customHeight="1" x14ac:dyDescent="0.2">
      <c r="F884" s="62"/>
      <c r="N884" s="62"/>
      <c r="O884" s="62"/>
      <c r="P884" s="62"/>
    </row>
    <row r="885" spans="6:16" ht="15.75" customHeight="1" x14ac:dyDescent="0.2">
      <c r="F885" s="62"/>
      <c r="N885" s="62"/>
      <c r="O885" s="62"/>
      <c r="P885" s="62"/>
    </row>
    <row r="886" spans="6:16" ht="15.75" customHeight="1" x14ac:dyDescent="0.2">
      <c r="F886" s="62"/>
      <c r="N886" s="62"/>
      <c r="O886" s="62"/>
      <c r="P886" s="62"/>
    </row>
    <row r="887" spans="6:16" ht="15.75" customHeight="1" x14ac:dyDescent="0.2">
      <c r="F887" s="62"/>
      <c r="N887" s="62"/>
      <c r="O887" s="62"/>
      <c r="P887" s="62"/>
    </row>
    <row r="888" spans="6:16" ht="15.75" customHeight="1" x14ac:dyDescent="0.2">
      <c r="F888" s="62"/>
      <c r="N888" s="62"/>
      <c r="O888" s="62"/>
      <c r="P888" s="62"/>
    </row>
    <row r="889" spans="6:16" ht="15.75" customHeight="1" x14ac:dyDescent="0.2">
      <c r="F889" s="62"/>
      <c r="N889" s="62"/>
      <c r="O889" s="62"/>
      <c r="P889" s="62"/>
    </row>
    <row r="890" spans="6:16" ht="15.75" customHeight="1" x14ac:dyDescent="0.2">
      <c r="F890" s="62"/>
      <c r="N890" s="62"/>
      <c r="O890" s="62"/>
      <c r="P890" s="62"/>
    </row>
    <row r="891" spans="6:16" ht="15.75" customHeight="1" x14ac:dyDescent="0.2">
      <c r="F891" s="62"/>
      <c r="N891" s="62"/>
      <c r="O891" s="62"/>
      <c r="P891" s="62"/>
    </row>
    <row r="892" spans="6:16" ht="15.75" customHeight="1" x14ac:dyDescent="0.2">
      <c r="F892" s="62"/>
      <c r="N892" s="62"/>
      <c r="O892" s="62"/>
      <c r="P892" s="62"/>
    </row>
    <row r="893" spans="6:16" ht="15.75" customHeight="1" x14ac:dyDescent="0.2">
      <c r="F893" s="62"/>
      <c r="N893" s="62"/>
      <c r="O893" s="62"/>
      <c r="P893" s="62"/>
    </row>
    <row r="894" spans="6:16" ht="15.75" customHeight="1" x14ac:dyDescent="0.2">
      <c r="F894" s="62"/>
      <c r="N894" s="62"/>
      <c r="O894" s="62"/>
      <c r="P894" s="62"/>
    </row>
    <row r="895" spans="6:16" ht="15.75" customHeight="1" x14ac:dyDescent="0.2">
      <c r="F895" s="62"/>
      <c r="N895" s="62"/>
      <c r="O895" s="62"/>
      <c r="P895" s="62"/>
    </row>
    <row r="896" spans="6:16" ht="15.75" customHeight="1" x14ac:dyDescent="0.2">
      <c r="F896" s="62"/>
      <c r="N896" s="62"/>
      <c r="O896" s="62"/>
      <c r="P896" s="62"/>
    </row>
    <row r="897" spans="6:16" ht="15.75" customHeight="1" x14ac:dyDescent="0.2">
      <c r="F897" s="62"/>
      <c r="N897" s="62"/>
      <c r="O897" s="62"/>
      <c r="P897" s="62"/>
    </row>
    <row r="898" spans="6:16" ht="15.75" customHeight="1" x14ac:dyDescent="0.2">
      <c r="F898" s="62"/>
      <c r="N898" s="62"/>
      <c r="O898" s="62"/>
      <c r="P898" s="62"/>
    </row>
    <row r="899" spans="6:16" ht="15.75" customHeight="1" x14ac:dyDescent="0.2">
      <c r="F899" s="62"/>
      <c r="N899" s="62"/>
      <c r="O899" s="62"/>
      <c r="P899" s="62"/>
    </row>
    <row r="900" spans="6:16" ht="15.75" customHeight="1" x14ac:dyDescent="0.2">
      <c r="F900" s="62"/>
      <c r="N900" s="62"/>
      <c r="O900" s="62"/>
      <c r="P900" s="62"/>
    </row>
    <row r="901" spans="6:16" ht="15.75" customHeight="1" x14ac:dyDescent="0.2">
      <c r="F901" s="62"/>
      <c r="N901" s="62"/>
      <c r="O901" s="62"/>
      <c r="P901" s="62"/>
    </row>
    <row r="902" spans="6:16" ht="15.75" customHeight="1" x14ac:dyDescent="0.2">
      <c r="F902" s="62"/>
      <c r="N902" s="62"/>
      <c r="O902" s="62"/>
      <c r="P902" s="62"/>
    </row>
    <row r="903" spans="6:16" ht="15.75" customHeight="1" x14ac:dyDescent="0.2">
      <c r="F903" s="62"/>
      <c r="N903" s="62"/>
      <c r="O903" s="62"/>
      <c r="P903" s="62"/>
    </row>
    <row r="904" spans="6:16" ht="15.75" customHeight="1" x14ac:dyDescent="0.2">
      <c r="F904" s="62"/>
      <c r="N904" s="62"/>
      <c r="O904" s="62"/>
      <c r="P904" s="62"/>
    </row>
    <row r="905" spans="6:16" ht="15.75" customHeight="1" x14ac:dyDescent="0.2">
      <c r="F905" s="62"/>
      <c r="N905" s="62"/>
      <c r="O905" s="62"/>
      <c r="P905" s="62"/>
    </row>
    <row r="906" spans="6:16" ht="15.75" customHeight="1" x14ac:dyDescent="0.2">
      <c r="F906" s="62"/>
      <c r="N906" s="62"/>
      <c r="O906" s="62"/>
      <c r="P906" s="62"/>
    </row>
    <row r="907" spans="6:16" ht="15.75" customHeight="1" x14ac:dyDescent="0.2">
      <c r="F907" s="62"/>
      <c r="N907" s="62"/>
      <c r="O907" s="62"/>
      <c r="P907" s="62"/>
    </row>
    <row r="908" spans="6:16" ht="15.75" customHeight="1" x14ac:dyDescent="0.2">
      <c r="F908" s="62"/>
      <c r="N908" s="62"/>
      <c r="O908" s="62"/>
      <c r="P908" s="62"/>
    </row>
    <row r="909" spans="6:16" ht="15.75" customHeight="1" x14ac:dyDescent="0.2">
      <c r="F909" s="62"/>
      <c r="N909" s="62"/>
      <c r="O909" s="62"/>
      <c r="P909" s="62"/>
    </row>
    <row r="910" spans="6:16" ht="15.75" customHeight="1" x14ac:dyDescent="0.2">
      <c r="F910" s="62"/>
      <c r="N910" s="62"/>
      <c r="O910" s="62"/>
      <c r="P910" s="62"/>
    </row>
    <row r="911" spans="6:16" ht="15.75" customHeight="1" x14ac:dyDescent="0.2">
      <c r="F911" s="62"/>
      <c r="N911" s="62"/>
      <c r="O911" s="62"/>
      <c r="P911" s="62"/>
    </row>
    <row r="912" spans="6:16" ht="15.75" customHeight="1" x14ac:dyDescent="0.2">
      <c r="F912" s="62"/>
      <c r="N912" s="62"/>
      <c r="O912" s="62"/>
      <c r="P912" s="62"/>
    </row>
    <row r="913" spans="6:16" ht="15.75" customHeight="1" x14ac:dyDescent="0.2">
      <c r="F913" s="62"/>
      <c r="N913" s="62"/>
      <c r="O913" s="62"/>
      <c r="P913" s="62"/>
    </row>
    <row r="914" spans="6:16" ht="15.75" customHeight="1" x14ac:dyDescent="0.2">
      <c r="F914" s="62"/>
      <c r="N914" s="62"/>
      <c r="O914" s="62"/>
      <c r="P914" s="62"/>
    </row>
    <row r="915" spans="6:16" ht="15.75" customHeight="1" x14ac:dyDescent="0.2">
      <c r="F915" s="62"/>
      <c r="N915" s="62"/>
      <c r="O915" s="62"/>
      <c r="P915" s="62"/>
    </row>
    <row r="916" spans="6:16" ht="15.75" customHeight="1" x14ac:dyDescent="0.2">
      <c r="F916" s="62"/>
      <c r="N916" s="62"/>
      <c r="O916" s="62"/>
      <c r="P916" s="62"/>
    </row>
    <row r="917" spans="6:16" ht="15.75" customHeight="1" x14ac:dyDescent="0.2">
      <c r="F917" s="62"/>
      <c r="N917" s="62"/>
      <c r="O917" s="62"/>
      <c r="P917" s="62"/>
    </row>
    <row r="918" spans="6:16" ht="15.75" customHeight="1" x14ac:dyDescent="0.2">
      <c r="F918" s="62"/>
      <c r="N918" s="62"/>
      <c r="O918" s="62"/>
      <c r="P918" s="62"/>
    </row>
    <row r="919" spans="6:16" ht="15.75" customHeight="1" x14ac:dyDescent="0.2">
      <c r="F919" s="62"/>
      <c r="N919" s="62"/>
      <c r="O919" s="62"/>
      <c r="P919" s="62"/>
    </row>
    <row r="920" spans="6:16" ht="15.75" customHeight="1" x14ac:dyDescent="0.2">
      <c r="F920" s="62"/>
      <c r="N920" s="62"/>
      <c r="O920" s="62"/>
      <c r="P920" s="62"/>
    </row>
    <row r="921" spans="6:16" ht="15.75" customHeight="1" x14ac:dyDescent="0.2">
      <c r="F921" s="62"/>
      <c r="N921" s="62"/>
      <c r="O921" s="62"/>
      <c r="P921" s="62"/>
    </row>
    <row r="922" spans="6:16" ht="15.75" customHeight="1" x14ac:dyDescent="0.2">
      <c r="F922" s="62"/>
      <c r="N922" s="62"/>
      <c r="O922" s="62"/>
      <c r="P922" s="62"/>
    </row>
    <row r="923" spans="6:16" ht="15.75" customHeight="1" x14ac:dyDescent="0.2">
      <c r="F923" s="62"/>
      <c r="N923" s="62"/>
      <c r="O923" s="62"/>
      <c r="P923" s="62"/>
    </row>
    <row r="924" spans="6:16" ht="15.75" customHeight="1" x14ac:dyDescent="0.2">
      <c r="F924" s="62"/>
      <c r="N924" s="62"/>
      <c r="O924" s="62"/>
      <c r="P924" s="62"/>
    </row>
    <row r="925" spans="6:16" ht="15.75" customHeight="1" x14ac:dyDescent="0.2">
      <c r="F925" s="62"/>
      <c r="N925" s="62"/>
      <c r="O925" s="62"/>
      <c r="P925" s="62"/>
    </row>
    <row r="926" spans="6:16" ht="15.75" customHeight="1" x14ac:dyDescent="0.2">
      <c r="F926" s="62"/>
      <c r="N926" s="62"/>
      <c r="O926" s="62"/>
      <c r="P926" s="62"/>
    </row>
    <row r="927" spans="6:16" ht="15.75" customHeight="1" x14ac:dyDescent="0.2">
      <c r="F927" s="62"/>
      <c r="N927" s="62"/>
      <c r="O927" s="62"/>
      <c r="P927" s="62"/>
    </row>
    <row r="928" spans="6:16" ht="15.75" customHeight="1" x14ac:dyDescent="0.2">
      <c r="F928" s="62"/>
      <c r="N928" s="62"/>
      <c r="O928" s="62"/>
      <c r="P928" s="62"/>
    </row>
    <row r="929" spans="6:16" ht="15.75" customHeight="1" x14ac:dyDescent="0.2">
      <c r="F929" s="62"/>
      <c r="N929" s="62"/>
      <c r="O929" s="62"/>
      <c r="P929" s="62"/>
    </row>
    <row r="930" spans="6:16" ht="15.75" customHeight="1" x14ac:dyDescent="0.2">
      <c r="F930" s="62"/>
      <c r="N930" s="62"/>
      <c r="O930" s="62"/>
      <c r="P930" s="62"/>
    </row>
    <row r="931" spans="6:16" ht="15.75" customHeight="1" x14ac:dyDescent="0.2">
      <c r="F931" s="62"/>
      <c r="N931" s="62"/>
      <c r="O931" s="62"/>
      <c r="P931" s="62"/>
    </row>
    <row r="932" spans="6:16" ht="15.75" customHeight="1" x14ac:dyDescent="0.2">
      <c r="F932" s="62"/>
      <c r="N932" s="62"/>
      <c r="O932" s="62"/>
      <c r="P932" s="62"/>
    </row>
    <row r="933" spans="6:16" ht="15.75" customHeight="1" x14ac:dyDescent="0.2">
      <c r="F933" s="62"/>
      <c r="N933" s="62"/>
      <c r="O933" s="62"/>
      <c r="P933" s="62"/>
    </row>
    <row r="934" spans="6:16" ht="15.75" customHeight="1" x14ac:dyDescent="0.2">
      <c r="F934" s="62"/>
      <c r="N934" s="62"/>
      <c r="O934" s="62"/>
      <c r="P934" s="62"/>
    </row>
    <row r="935" spans="6:16" ht="15.75" customHeight="1" x14ac:dyDescent="0.2">
      <c r="F935" s="62"/>
      <c r="N935" s="62"/>
      <c r="O935" s="62"/>
      <c r="P935" s="62"/>
    </row>
    <row r="936" spans="6:16" ht="15.75" customHeight="1" x14ac:dyDescent="0.2">
      <c r="F936" s="62"/>
      <c r="N936" s="62"/>
      <c r="O936" s="62"/>
      <c r="P936" s="62"/>
    </row>
    <row r="937" spans="6:16" ht="15.75" customHeight="1" x14ac:dyDescent="0.2">
      <c r="F937" s="62"/>
      <c r="N937" s="62"/>
      <c r="O937" s="62"/>
      <c r="P937" s="62"/>
    </row>
    <row r="938" spans="6:16" ht="15.75" customHeight="1" x14ac:dyDescent="0.2">
      <c r="F938" s="62"/>
      <c r="N938" s="62"/>
      <c r="O938" s="62"/>
      <c r="P938" s="62"/>
    </row>
    <row r="939" spans="6:16" ht="15.75" customHeight="1" x14ac:dyDescent="0.2">
      <c r="F939" s="62"/>
      <c r="N939" s="62"/>
      <c r="O939" s="62"/>
      <c r="P939" s="62"/>
    </row>
    <row r="940" spans="6:16" ht="15.75" customHeight="1" x14ac:dyDescent="0.2">
      <c r="F940" s="62"/>
      <c r="N940" s="62"/>
      <c r="O940" s="62"/>
      <c r="P940" s="62"/>
    </row>
    <row r="941" spans="6:16" ht="15.75" customHeight="1" x14ac:dyDescent="0.2">
      <c r="F941" s="62"/>
      <c r="N941" s="62"/>
      <c r="O941" s="62"/>
      <c r="P941" s="62"/>
    </row>
    <row r="942" spans="6:16" ht="15.75" customHeight="1" x14ac:dyDescent="0.2">
      <c r="F942" s="62"/>
      <c r="N942" s="62"/>
      <c r="O942" s="62"/>
      <c r="P942" s="62"/>
    </row>
    <row r="943" spans="6:16" ht="15.75" customHeight="1" x14ac:dyDescent="0.2">
      <c r="F943" s="62"/>
      <c r="N943" s="62"/>
      <c r="O943" s="62"/>
      <c r="P943" s="62"/>
    </row>
    <row r="944" spans="6:16" ht="15.75" customHeight="1" x14ac:dyDescent="0.2">
      <c r="F944" s="62"/>
      <c r="N944" s="62"/>
      <c r="O944" s="62"/>
      <c r="P944" s="62"/>
    </row>
    <row r="945" spans="6:16" ht="15.75" customHeight="1" x14ac:dyDescent="0.2">
      <c r="F945" s="62"/>
      <c r="N945" s="62"/>
      <c r="O945" s="62"/>
      <c r="P945" s="62"/>
    </row>
    <row r="946" spans="6:16" ht="15.75" customHeight="1" x14ac:dyDescent="0.2">
      <c r="F946" s="62"/>
      <c r="N946" s="62"/>
      <c r="O946" s="62"/>
      <c r="P946" s="62"/>
    </row>
    <row r="947" spans="6:16" ht="15.75" customHeight="1" x14ac:dyDescent="0.2">
      <c r="F947" s="62"/>
      <c r="N947" s="62"/>
      <c r="O947" s="62"/>
      <c r="P947" s="62"/>
    </row>
    <row r="948" spans="6:16" ht="15.75" customHeight="1" x14ac:dyDescent="0.2">
      <c r="F948" s="62"/>
      <c r="N948" s="62"/>
      <c r="O948" s="62"/>
      <c r="P948" s="62"/>
    </row>
    <row r="949" spans="6:16" ht="15.75" customHeight="1" x14ac:dyDescent="0.2">
      <c r="F949" s="62"/>
      <c r="N949" s="62"/>
      <c r="O949" s="62"/>
      <c r="P949" s="62"/>
    </row>
    <row r="950" spans="6:16" ht="15.75" customHeight="1" x14ac:dyDescent="0.2">
      <c r="F950" s="62"/>
      <c r="N950" s="62"/>
      <c r="O950" s="62"/>
      <c r="P950" s="62"/>
    </row>
    <row r="951" spans="6:16" ht="15.75" customHeight="1" x14ac:dyDescent="0.2">
      <c r="F951" s="62"/>
      <c r="N951" s="62"/>
      <c r="O951" s="62"/>
      <c r="P951" s="62"/>
    </row>
    <row r="952" spans="6:16" ht="15.75" customHeight="1" x14ac:dyDescent="0.2">
      <c r="F952" s="62"/>
      <c r="N952" s="62"/>
      <c r="O952" s="62"/>
      <c r="P952" s="62"/>
    </row>
    <row r="953" spans="6:16" ht="15.75" customHeight="1" x14ac:dyDescent="0.2">
      <c r="F953" s="62"/>
      <c r="N953" s="62"/>
      <c r="O953" s="62"/>
      <c r="P953" s="62"/>
    </row>
    <row r="954" spans="6:16" ht="15.75" customHeight="1" x14ac:dyDescent="0.2">
      <c r="F954" s="62"/>
      <c r="N954" s="62"/>
      <c r="O954" s="62"/>
      <c r="P954" s="62"/>
    </row>
    <row r="955" spans="6:16" ht="15.75" customHeight="1" x14ac:dyDescent="0.2">
      <c r="F955" s="62"/>
      <c r="N955" s="62"/>
      <c r="O955" s="62"/>
      <c r="P955" s="62"/>
    </row>
    <row r="956" spans="6:16" ht="15.75" customHeight="1" x14ac:dyDescent="0.2">
      <c r="F956" s="62"/>
      <c r="N956" s="62"/>
      <c r="O956" s="62"/>
      <c r="P956" s="62"/>
    </row>
    <row r="957" spans="6:16" ht="15.75" customHeight="1" x14ac:dyDescent="0.2">
      <c r="F957" s="62"/>
      <c r="N957" s="62"/>
      <c r="O957" s="62"/>
      <c r="P957" s="62"/>
    </row>
    <row r="958" spans="6:16" ht="15.75" customHeight="1" x14ac:dyDescent="0.2">
      <c r="F958" s="62"/>
      <c r="N958" s="62"/>
      <c r="O958" s="62"/>
      <c r="P958" s="62"/>
    </row>
    <row r="959" spans="6:16" ht="15.75" customHeight="1" x14ac:dyDescent="0.2">
      <c r="F959" s="62"/>
      <c r="N959" s="62"/>
      <c r="O959" s="62"/>
      <c r="P959" s="62"/>
    </row>
    <row r="960" spans="6:16" ht="15.75" customHeight="1" x14ac:dyDescent="0.2">
      <c r="F960" s="62"/>
      <c r="N960" s="62"/>
      <c r="O960" s="62"/>
      <c r="P960" s="62"/>
    </row>
    <row r="961" spans="6:16" ht="15.75" customHeight="1" x14ac:dyDescent="0.2">
      <c r="F961" s="62"/>
      <c r="N961" s="62"/>
      <c r="O961" s="62"/>
      <c r="P961" s="62"/>
    </row>
    <row r="962" spans="6:16" ht="15.75" customHeight="1" x14ac:dyDescent="0.2">
      <c r="F962" s="62"/>
      <c r="N962" s="62"/>
      <c r="O962" s="62"/>
      <c r="P962" s="62"/>
    </row>
    <row r="963" spans="6:16" ht="15.75" customHeight="1" x14ac:dyDescent="0.2">
      <c r="F963" s="62"/>
      <c r="N963" s="62"/>
      <c r="O963" s="62"/>
      <c r="P963" s="62"/>
    </row>
    <row r="964" spans="6:16" ht="15.75" customHeight="1" x14ac:dyDescent="0.2">
      <c r="F964" s="62"/>
      <c r="N964" s="62"/>
      <c r="O964" s="62"/>
      <c r="P964" s="62"/>
    </row>
    <row r="965" spans="6:16" ht="15.75" customHeight="1" x14ac:dyDescent="0.2">
      <c r="F965" s="62"/>
      <c r="N965" s="62"/>
      <c r="O965" s="62"/>
      <c r="P965" s="62"/>
    </row>
    <row r="966" spans="6:16" ht="15.75" customHeight="1" x14ac:dyDescent="0.2">
      <c r="F966" s="62"/>
      <c r="N966" s="62"/>
      <c r="O966" s="62"/>
      <c r="P966" s="62"/>
    </row>
    <row r="967" spans="6:16" ht="15.75" customHeight="1" x14ac:dyDescent="0.2">
      <c r="F967" s="62"/>
      <c r="N967" s="62"/>
      <c r="O967" s="62"/>
      <c r="P967" s="62"/>
    </row>
    <row r="968" spans="6:16" ht="15.75" customHeight="1" x14ac:dyDescent="0.2">
      <c r="F968" s="62"/>
      <c r="N968" s="62"/>
      <c r="O968" s="62"/>
      <c r="P968" s="62"/>
    </row>
    <row r="969" spans="6:16" ht="15.75" customHeight="1" x14ac:dyDescent="0.2">
      <c r="F969" s="62"/>
      <c r="N969" s="62"/>
      <c r="O969" s="62"/>
      <c r="P969" s="62"/>
    </row>
    <row r="970" spans="6:16" ht="15.75" customHeight="1" x14ac:dyDescent="0.2">
      <c r="F970" s="62"/>
      <c r="N970" s="62"/>
      <c r="O970" s="62"/>
      <c r="P970" s="62"/>
    </row>
    <row r="971" spans="6:16" ht="15.75" customHeight="1" x14ac:dyDescent="0.2">
      <c r="F971" s="62"/>
      <c r="N971" s="62"/>
      <c r="O971" s="62"/>
      <c r="P971" s="62"/>
    </row>
    <row r="972" spans="6:16" ht="15.75" customHeight="1" x14ac:dyDescent="0.2">
      <c r="F972" s="62"/>
      <c r="N972" s="62"/>
      <c r="O972" s="62"/>
      <c r="P972" s="62"/>
    </row>
    <row r="973" spans="6:16" ht="15.75" customHeight="1" x14ac:dyDescent="0.2">
      <c r="F973" s="62"/>
      <c r="N973" s="62"/>
      <c r="O973" s="62"/>
      <c r="P973" s="62"/>
    </row>
    <row r="974" spans="6:16" ht="15.75" customHeight="1" x14ac:dyDescent="0.2">
      <c r="F974" s="62"/>
      <c r="N974" s="62"/>
      <c r="O974" s="62"/>
      <c r="P974" s="62"/>
    </row>
    <row r="975" spans="6:16" ht="15.75" customHeight="1" x14ac:dyDescent="0.2">
      <c r="F975" s="62"/>
      <c r="N975" s="62"/>
      <c r="O975" s="62"/>
      <c r="P975" s="62"/>
    </row>
    <row r="976" spans="6:16" ht="15.75" customHeight="1" x14ac:dyDescent="0.2">
      <c r="F976" s="62"/>
      <c r="N976" s="62"/>
      <c r="O976" s="62"/>
      <c r="P976" s="62"/>
    </row>
    <row r="977" spans="6:16" ht="15.75" customHeight="1" x14ac:dyDescent="0.2">
      <c r="F977" s="62"/>
      <c r="N977" s="62"/>
      <c r="O977" s="62"/>
      <c r="P977" s="62"/>
    </row>
    <row r="978" spans="6:16" ht="15.75" customHeight="1" x14ac:dyDescent="0.2">
      <c r="F978" s="62"/>
      <c r="N978" s="62"/>
      <c r="O978" s="62"/>
      <c r="P978" s="62"/>
    </row>
    <row r="979" spans="6:16" ht="15.75" customHeight="1" x14ac:dyDescent="0.2">
      <c r="F979" s="62"/>
      <c r="N979" s="62"/>
      <c r="O979" s="62"/>
      <c r="P979" s="62"/>
    </row>
    <row r="980" spans="6:16" ht="15.75" customHeight="1" x14ac:dyDescent="0.2">
      <c r="F980" s="62"/>
      <c r="N980" s="62"/>
      <c r="O980" s="62"/>
      <c r="P980" s="62"/>
    </row>
    <row r="981" spans="6:16" ht="15.75" customHeight="1" x14ac:dyDescent="0.2">
      <c r="F981" s="62"/>
      <c r="N981" s="62"/>
      <c r="O981" s="62"/>
      <c r="P981" s="62"/>
    </row>
    <row r="982" spans="6:16" ht="15.75" customHeight="1" x14ac:dyDescent="0.2">
      <c r="F982" s="62"/>
      <c r="N982" s="62"/>
      <c r="O982" s="62"/>
      <c r="P982" s="62"/>
    </row>
    <row r="983" spans="6:16" ht="15.75" customHeight="1" x14ac:dyDescent="0.2">
      <c r="F983" s="62"/>
      <c r="N983" s="62"/>
      <c r="O983" s="62"/>
      <c r="P983" s="62"/>
    </row>
    <row r="984" spans="6:16" ht="15.75" customHeight="1" x14ac:dyDescent="0.2">
      <c r="F984" s="62"/>
      <c r="N984" s="62"/>
      <c r="O984" s="62"/>
      <c r="P984" s="62"/>
    </row>
    <row r="985" spans="6:16" ht="15.75" customHeight="1" x14ac:dyDescent="0.2">
      <c r="F985" s="62"/>
      <c r="N985" s="62"/>
      <c r="O985" s="62"/>
      <c r="P985" s="62"/>
    </row>
    <row r="986" spans="6:16" ht="15.75" customHeight="1" x14ac:dyDescent="0.2">
      <c r="F986" s="62"/>
      <c r="N986" s="62"/>
      <c r="O986" s="62"/>
      <c r="P986" s="62"/>
    </row>
    <row r="987" spans="6:16" ht="15.75" customHeight="1" x14ac:dyDescent="0.2">
      <c r="F987" s="62"/>
      <c r="N987" s="62"/>
      <c r="O987" s="62"/>
      <c r="P987" s="62"/>
    </row>
    <row r="988" spans="6:16" ht="15.75" customHeight="1" x14ac:dyDescent="0.2">
      <c r="F988" s="62"/>
      <c r="N988" s="62"/>
      <c r="O988" s="62"/>
      <c r="P988" s="62"/>
    </row>
    <row r="989" spans="6:16" ht="15.75" customHeight="1" x14ac:dyDescent="0.2">
      <c r="F989" s="62"/>
      <c r="N989" s="62"/>
      <c r="O989" s="62"/>
      <c r="P989" s="62"/>
    </row>
    <row r="990" spans="6:16" ht="15.75" customHeight="1" x14ac:dyDescent="0.2">
      <c r="F990" s="62"/>
      <c r="N990" s="62"/>
      <c r="O990" s="62"/>
      <c r="P990" s="62"/>
    </row>
    <row r="991" spans="6:16" ht="15.75" customHeight="1" x14ac:dyDescent="0.2">
      <c r="F991" s="62"/>
      <c r="N991" s="62"/>
      <c r="O991" s="62"/>
      <c r="P991" s="62"/>
    </row>
    <row r="992" spans="6:16" ht="15.75" customHeight="1" x14ac:dyDescent="0.2">
      <c r="F992" s="62"/>
      <c r="N992" s="62"/>
      <c r="O992" s="62"/>
      <c r="P992" s="62"/>
    </row>
    <row r="993" spans="6:16" ht="15.75" customHeight="1" x14ac:dyDescent="0.2">
      <c r="F993" s="62"/>
      <c r="N993" s="62"/>
      <c r="O993" s="62"/>
      <c r="P993" s="62"/>
    </row>
    <row r="994" spans="6:16" ht="15.75" customHeight="1" x14ac:dyDescent="0.2">
      <c r="F994" s="62"/>
      <c r="N994" s="62"/>
      <c r="O994" s="62"/>
      <c r="P994" s="62"/>
    </row>
    <row r="995" spans="6:16" ht="15.75" customHeight="1" x14ac:dyDescent="0.2">
      <c r="F995" s="62"/>
      <c r="N995" s="62"/>
      <c r="O995" s="62"/>
      <c r="P995" s="62"/>
    </row>
    <row r="996" spans="6:16" ht="15.75" customHeight="1" x14ac:dyDescent="0.2">
      <c r="F996" s="62"/>
      <c r="N996" s="62"/>
      <c r="O996" s="62"/>
      <c r="P996" s="62"/>
    </row>
    <row r="997" spans="6:16" ht="15.75" customHeight="1" x14ac:dyDescent="0.2">
      <c r="F997" s="62"/>
      <c r="N997" s="62"/>
      <c r="O997" s="62"/>
      <c r="P997" s="62"/>
    </row>
    <row r="998" spans="6:16" ht="15.75" customHeight="1" x14ac:dyDescent="0.2">
      <c r="F998" s="62"/>
      <c r="N998" s="62"/>
      <c r="O998" s="62"/>
      <c r="P998" s="62"/>
    </row>
  </sheetData>
  <mergeCells count="13">
    <mergeCell ref="B7:B21"/>
    <mergeCell ref="E56:F56"/>
    <mergeCell ref="K2:K5"/>
    <mergeCell ref="L2:L5"/>
    <mergeCell ref="M2:M5"/>
    <mergeCell ref="C5:C6"/>
    <mergeCell ref="D5:D6"/>
    <mergeCell ref="E5:E6"/>
    <mergeCell ref="B22:B35"/>
    <mergeCell ref="B36:B43"/>
    <mergeCell ref="B45:B48"/>
    <mergeCell ref="B50:B54"/>
    <mergeCell ref="C52:C53"/>
  </mergeCells>
  <conditionalFormatting sqref="K7:M55">
    <cfRule type="notContainsBlanks" dxfId="1" priority="4">
      <formula>LEN(TRIM(K7))&gt;0</formula>
    </cfRule>
  </conditionalFormatting>
  <conditionalFormatting sqref="C7:D55">
    <cfRule type="colorScale" priority="1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7:E55">
    <cfRule type="colorScale" priority="14">
      <colorScale>
        <cfvo type="min"/>
        <cfvo type="max"/>
        <color rgb="FFFFFFFF"/>
        <color rgb="FF8E7CC3"/>
      </colorScale>
    </cfRule>
  </conditionalFormatting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2B375"/>
    <outlinePr summaryBelow="0" summaryRight="0"/>
  </sheetPr>
  <dimension ref="A1:AC1001"/>
  <sheetViews>
    <sheetView showGridLines="0" tabSelected="1" topLeftCell="A5" workbookViewId="0">
      <selection activeCell="I20" sqref="I20"/>
    </sheetView>
  </sheetViews>
  <sheetFormatPr defaultColWidth="12.5703125" defaultRowHeight="15" customHeight="1" x14ac:dyDescent="0.2"/>
  <cols>
    <col min="1" max="1" width="3.85546875" customWidth="1"/>
    <col min="2" max="2" width="11.42578125" customWidth="1"/>
    <col min="3" max="3" width="2.7109375" customWidth="1"/>
    <col min="4" max="4" width="3.7109375" customWidth="1"/>
    <col min="5" max="5" width="2.28515625" customWidth="1"/>
    <col min="6" max="6" width="23.85546875" customWidth="1"/>
    <col min="7" max="7" width="6.5703125" customWidth="1"/>
    <col min="8" max="8" width="10.140625" customWidth="1"/>
    <col min="9" max="9" width="8.42578125" customWidth="1"/>
    <col min="10" max="10" width="6.42578125" customWidth="1"/>
    <col min="11" max="13" width="5.42578125" customWidth="1"/>
    <col min="14" max="14" width="20.140625" customWidth="1"/>
    <col min="15" max="15" width="24.5703125" customWidth="1"/>
    <col min="16" max="16" width="22.42578125" customWidth="1"/>
  </cols>
  <sheetData>
    <row r="1" spans="1:29" ht="15.75" customHeight="1" x14ac:dyDescent="0.2">
      <c r="A1" s="1"/>
      <c r="B1" s="1"/>
      <c r="C1" s="1"/>
      <c r="D1" s="1"/>
      <c r="E1" s="1"/>
      <c r="F1" s="1"/>
      <c r="G1" s="1"/>
      <c r="H1" s="1"/>
      <c r="I1" s="2"/>
      <c r="J1" s="2"/>
      <c r="K1" s="133"/>
      <c r="L1" s="133"/>
      <c r="M1" s="133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">
      <c r="A2" s="1"/>
      <c r="B2" s="159"/>
      <c r="C2" s="159"/>
      <c r="D2" s="159"/>
      <c r="E2" s="159"/>
      <c r="F2" s="159"/>
      <c r="G2" s="159"/>
      <c r="H2" s="159"/>
      <c r="I2" s="160"/>
      <c r="J2" s="160"/>
      <c r="K2" s="236"/>
      <c r="L2" s="236"/>
      <c r="M2" s="236"/>
      <c r="N2" s="161"/>
      <c r="O2" s="162"/>
      <c r="P2" s="16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5">
      <c r="A3" s="1"/>
      <c r="B3" s="163" t="s">
        <v>185</v>
      </c>
      <c r="C3" s="163"/>
      <c r="D3" s="163"/>
      <c r="E3" s="163"/>
      <c r="F3" s="163"/>
      <c r="G3" s="163"/>
      <c r="H3" s="163"/>
      <c r="I3" s="164"/>
      <c r="J3" s="164"/>
      <c r="K3" s="209"/>
      <c r="L3" s="209"/>
      <c r="M3" s="209"/>
      <c r="N3" s="165"/>
      <c r="O3" s="162"/>
      <c r="P3" s="16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">
      <c r="A4" s="1"/>
      <c r="B4" s="166"/>
      <c r="C4" s="166"/>
      <c r="D4" s="166"/>
      <c r="E4" s="166"/>
      <c r="F4" s="166"/>
      <c r="G4" s="166"/>
      <c r="H4" s="166"/>
      <c r="I4" s="167"/>
      <c r="J4" s="167"/>
      <c r="K4" s="210"/>
      <c r="L4" s="210"/>
      <c r="M4" s="210"/>
      <c r="N4" s="168"/>
      <c r="O4" s="162"/>
      <c r="P4" s="16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9.25" customHeight="1" x14ac:dyDescent="0.2">
      <c r="A5" s="1"/>
      <c r="B5" s="169"/>
      <c r="C5" s="237" t="s">
        <v>1</v>
      </c>
      <c r="D5" s="237" t="s">
        <v>2</v>
      </c>
      <c r="E5" s="237" t="s">
        <v>3</v>
      </c>
      <c r="F5" s="169"/>
      <c r="G5" s="169"/>
      <c r="H5" s="169"/>
      <c r="I5" s="169"/>
      <c r="J5" s="169"/>
      <c r="K5" s="169"/>
      <c r="L5" s="169"/>
      <c r="M5" s="169"/>
      <c r="N5" s="170"/>
      <c r="O5" s="162"/>
      <c r="P5" s="16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">
      <c r="A6" s="1"/>
      <c r="B6" s="171" t="s">
        <v>4</v>
      </c>
      <c r="C6" s="210"/>
      <c r="D6" s="210"/>
      <c r="E6" s="210"/>
      <c r="F6" s="172" t="s">
        <v>5</v>
      </c>
      <c r="G6" s="173" t="s">
        <v>6</v>
      </c>
      <c r="H6" s="174" t="s">
        <v>7</v>
      </c>
      <c r="I6" s="174" t="s">
        <v>8</v>
      </c>
      <c r="J6" s="174" t="s">
        <v>9</v>
      </c>
      <c r="K6" s="19" t="s">
        <v>368</v>
      </c>
      <c r="L6" s="19" t="s">
        <v>369</v>
      </c>
      <c r="M6" s="19" t="s">
        <v>370</v>
      </c>
      <c r="N6" s="175" t="s">
        <v>10</v>
      </c>
      <c r="O6" s="21" t="s">
        <v>11</v>
      </c>
      <c r="P6" s="22" t="s">
        <v>12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">
      <c r="A7" s="1"/>
      <c r="B7" s="212" t="s">
        <v>186</v>
      </c>
      <c r="C7" s="176">
        <v>11</v>
      </c>
      <c r="D7" s="118">
        <v>43</v>
      </c>
      <c r="E7" s="24">
        <v>5</v>
      </c>
      <c r="F7" s="120" t="s">
        <v>371</v>
      </c>
      <c r="G7" s="94">
        <v>28</v>
      </c>
      <c r="H7" s="24">
        <f>52+15</f>
        <v>67</v>
      </c>
      <c r="I7" s="24">
        <f>29+12+15</f>
        <v>56</v>
      </c>
      <c r="J7" s="82">
        <f t="shared" ref="J7:J25" si="0">IF(OR(I7="",I7=0),0,I7/H7)</f>
        <v>0.83582089552238803</v>
      </c>
      <c r="K7" s="95">
        <v>46084</v>
      </c>
      <c r="L7" s="95">
        <v>46099</v>
      </c>
      <c r="M7" s="95">
        <v>46183</v>
      </c>
      <c r="N7" s="120" t="s">
        <v>627</v>
      </c>
      <c r="O7" s="84" t="str">
        <f t="shared" ref="O7:O25" si="1">IF(OR(K7="",L7="",M7=""),"⬜ Aguardando 3º contato",IF(J7=0,"⬜ Sem acertos registrados",IF(J7&gt;0.9,"✅ Rever em "&amp;TEXT(M7+60,"dd/mm/aaaa"),IF(J7&gt;0.8001,"🔵 Rever em "&amp;TEXT(M7+45,"dd/mm/aaaa"),IF(J7&gt;0.7001,"🟡 Rever em "&amp;TEXT(M7+30,"dd/mm/aaaa"),"🔴 Rever em "&amp;TEXT(M7+7,"dd/mm/aaaa"))))))</f>
        <v>🔵 Rever em 25/07/2026</v>
      </c>
      <c r="P7" s="31" t="str">
        <f t="shared" ref="P7:P25" si="2">IF(J7=0,"",IF(AND(J7&lt;0.7,MAX(C7,D7)&gt;=4),"🚨 CRÍTICO: Alta incidência + baixo aproveitamento",IF(J7&lt;0.7,"⚠️ Baixo aproveitamento - revisar urgente",IF(AND(J7&lt;0.8,MAX(C7,D7)&gt;=4),"📌 Atenção: Alta incidência",""))))</f>
        <v/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">
      <c r="A8" s="1"/>
      <c r="B8" s="213"/>
      <c r="C8" s="176">
        <v>23</v>
      </c>
      <c r="D8" s="23">
        <v>32</v>
      </c>
      <c r="E8" s="24">
        <v>5</v>
      </c>
      <c r="F8" s="120" t="s">
        <v>372</v>
      </c>
      <c r="G8" s="94">
        <v>55</v>
      </c>
      <c r="H8" s="24">
        <f>30+15</f>
        <v>45</v>
      </c>
      <c r="I8" s="24">
        <f>25+14</f>
        <v>39</v>
      </c>
      <c r="J8" s="82">
        <f t="shared" si="0"/>
        <v>0.8666666666666667</v>
      </c>
      <c r="K8" s="95">
        <v>46120</v>
      </c>
      <c r="L8" s="95">
        <v>46157</v>
      </c>
      <c r="M8" s="95">
        <v>46183</v>
      </c>
      <c r="N8" s="120" t="s">
        <v>634</v>
      </c>
      <c r="O8" s="30" t="str">
        <f t="shared" si="1"/>
        <v>🔵 Rever em 25/07/2026</v>
      </c>
      <c r="P8" s="32" t="str">
        <f t="shared" si="2"/>
        <v/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">
      <c r="A9" s="1"/>
      <c r="B9" s="213"/>
      <c r="C9" s="118">
        <v>2</v>
      </c>
      <c r="D9" s="23">
        <v>16</v>
      </c>
      <c r="E9" s="24">
        <v>4</v>
      </c>
      <c r="F9" s="120" t="s">
        <v>373</v>
      </c>
      <c r="G9" s="94">
        <v>29</v>
      </c>
      <c r="H9" s="24">
        <v>30</v>
      </c>
      <c r="I9" s="24">
        <v>25</v>
      </c>
      <c r="J9" s="82">
        <f t="shared" si="0"/>
        <v>0.83333333333333337</v>
      </c>
      <c r="K9" s="95">
        <v>46148</v>
      </c>
      <c r="L9" s="95">
        <v>46166</v>
      </c>
      <c r="M9" s="95"/>
      <c r="N9" s="120" t="s">
        <v>635</v>
      </c>
      <c r="O9" s="30" t="str">
        <f t="shared" si="1"/>
        <v>⬜ Aguardando 3º contato</v>
      </c>
      <c r="P9" s="32" t="str">
        <f t="shared" si="2"/>
        <v/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">
      <c r="A10" s="1"/>
      <c r="B10" s="213"/>
      <c r="C10" s="42">
        <v>9</v>
      </c>
      <c r="D10" s="23">
        <v>3</v>
      </c>
      <c r="E10" s="24">
        <v>5</v>
      </c>
      <c r="F10" s="120" t="s">
        <v>374</v>
      </c>
      <c r="G10" s="94">
        <v>28</v>
      </c>
      <c r="H10" s="24">
        <f>37+15</f>
        <v>52</v>
      </c>
      <c r="I10" s="24">
        <f>25+12</f>
        <v>37</v>
      </c>
      <c r="J10" s="82">
        <f t="shared" si="0"/>
        <v>0.71153846153846156</v>
      </c>
      <c r="K10" s="95">
        <v>46088</v>
      </c>
      <c r="L10" s="95">
        <v>46099</v>
      </c>
      <c r="M10" s="95">
        <v>46174</v>
      </c>
      <c r="N10" s="120" t="s">
        <v>330</v>
      </c>
      <c r="O10" s="30" t="str">
        <f t="shared" si="1"/>
        <v>🟡 Rever em 01/07/2026</v>
      </c>
      <c r="P10" s="32" t="str">
        <f t="shared" si="2"/>
        <v>📌 Atenção: Alta incidência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">
      <c r="A11" s="1"/>
      <c r="B11" s="213"/>
      <c r="C11" s="176">
        <v>2</v>
      </c>
      <c r="D11" s="23">
        <v>17</v>
      </c>
      <c r="E11" s="24">
        <v>5</v>
      </c>
      <c r="F11" s="120" t="s">
        <v>375</v>
      </c>
      <c r="G11" s="94">
        <v>33</v>
      </c>
      <c r="H11" s="24">
        <v>26</v>
      </c>
      <c r="I11" s="24">
        <v>21</v>
      </c>
      <c r="J11" s="82">
        <f t="shared" si="0"/>
        <v>0.80769230769230771</v>
      </c>
      <c r="K11" s="95">
        <v>46055</v>
      </c>
      <c r="L11" s="95">
        <v>46126</v>
      </c>
      <c r="M11" s="95">
        <v>46139</v>
      </c>
      <c r="N11" s="120" t="s">
        <v>329</v>
      </c>
      <c r="O11" s="30" t="str">
        <f t="shared" si="1"/>
        <v>🔵 Rever em 11/06/2026</v>
      </c>
      <c r="P11" s="32" t="str">
        <f t="shared" si="2"/>
        <v/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">
      <c r="A12" s="1"/>
      <c r="B12" s="213"/>
      <c r="C12" s="42">
        <v>2</v>
      </c>
      <c r="D12" s="23">
        <v>2</v>
      </c>
      <c r="E12" s="24">
        <v>5</v>
      </c>
      <c r="F12" s="120" t="s">
        <v>376</v>
      </c>
      <c r="G12" s="24">
        <v>38</v>
      </c>
      <c r="H12" s="24">
        <v>50</v>
      </c>
      <c r="I12" s="24"/>
      <c r="J12" s="82">
        <f t="shared" si="0"/>
        <v>0</v>
      </c>
      <c r="K12" s="95"/>
      <c r="L12" s="95"/>
      <c r="M12" s="95"/>
      <c r="N12" s="120" t="s">
        <v>214</v>
      </c>
      <c r="O12" s="30" t="str">
        <f t="shared" si="1"/>
        <v>⬜ Aguardando 3º contato</v>
      </c>
      <c r="P12" s="32" t="str">
        <f t="shared" si="2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">
      <c r="A13" s="1"/>
      <c r="B13" s="213"/>
      <c r="C13" s="23">
        <v>0</v>
      </c>
      <c r="D13" s="23">
        <v>9</v>
      </c>
      <c r="E13" s="24">
        <v>3</v>
      </c>
      <c r="F13" s="120" t="s">
        <v>187</v>
      </c>
      <c r="G13" s="24">
        <v>31</v>
      </c>
      <c r="H13" s="24">
        <v>30</v>
      </c>
      <c r="I13" s="24"/>
      <c r="J13" s="82">
        <f t="shared" si="0"/>
        <v>0</v>
      </c>
      <c r="K13" s="95"/>
      <c r="L13" s="95"/>
      <c r="M13" s="95"/>
      <c r="N13" s="120" t="s">
        <v>591</v>
      </c>
      <c r="O13" s="30" t="str">
        <f t="shared" si="1"/>
        <v>⬜ Aguardando 3º contato</v>
      </c>
      <c r="P13" s="32" t="str">
        <f t="shared" si="2"/>
        <v/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">
      <c r="A14" s="1"/>
      <c r="B14" s="213"/>
      <c r="C14" s="23">
        <v>1</v>
      </c>
      <c r="D14" s="23">
        <v>3</v>
      </c>
      <c r="E14" s="24">
        <v>2</v>
      </c>
      <c r="F14" s="120" t="s">
        <v>377</v>
      </c>
      <c r="G14" s="24">
        <v>23</v>
      </c>
      <c r="H14" s="24">
        <v>20</v>
      </c>
      <c r="I14" s="24"/>
      <c r="J14" s="82">
        <f t="shared" si="0"/>
        <v>0</v>
      </c>
      <c r="K14" s="95"/>
      <c r="L14" s="95"/>
      <c r="M14" s="95"/>
      <c r="N14" s="120" t="s">
        <v>213</v>
      </c>
      <c r="O14" s="30" t="str">
        <f t="shared" si="1"/>
        <v>⬜ Aguardando 3º contato</v>
      </c>
      <c r="P14" s="32" t="str">
        <f t="shared" si="2"/>
        <v/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">
      <c r="A15" s="1"/>
      <c r="B15" s="240"/>
      <c r="C15" s="23">
        <v>31</v>
      </c>
      <c r="D15" s="23">
        <v>86</v>
      </c>
      <c r="E15" s="24"/>
      <c r="F15" s="120" t="s">
        <v>378</v>
      </c>
      <c r="G15" s="24"/>
      <c r="H15" s="24"/>
      <c r="I15" s="24"/>
      <c r="J15" s="82"/>
      <c r="K15" s="95"/>
      <c r="L15" s="95"/>
      <c r="M15" s="95"/>
      <c r="N15" s="120" t="s">
        <v>331</v>
      </c>
      <c r="O15" s="30"/>
      <c r="P15" s="3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">
      <c r="A16" s="1"/>
      <c r="B16" s="214"/>
      <c r="C16" s="23">
        <v>0</v>
      </c>
      <c r="D16" s="23">
        <v>2</v>
      </c>
      <c r="E16" s="24">
        <v>1</v>
      </c>
      <c r="F16" s="120" t="s">
        <v>379</v>
      </c>
      <c r="G16" s="24">
        <v>7</v>
      </c>
      <c r="H16" s="24">
        <v>10</v>
      </c>
      <c r="I16" s="24"/>
      <c r="J16" s="82">
        <f t="shared" si="0"/>
        <v>0</v>
      </c>
      <c r="K16" s="95"/>
      <c r="L16" s="95"/>
      <c r="M16" s="95"/>
      <c r="N16" s="120" t="s">
        <v>591</v>
      </c>
      <c r="O16" s="30" t="str">
        <f t="shared" si="1"/>
        <v>⬜ Aguardando 3º contato</v>
      </c>
      <c r="P16" s="32" t="str">
        <f t="shared" si="2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">
      <c r="A17" s="1"/>
      <c r="B17" s="157" t="s">
        <v>188</v>
      </c>
      <c r="C17" s="33">
        <v>5</v>
      </c>
      <c r="D17" s="33">
        <v>0</v>
      </c>
      <c r="E17" s="34">
        <v>5</v>
      </c>
      <c r="F17" s="125" t="s">
        <v>380</v>
      </c>
      <c r="G17" s="34">
        <v>36</v>
      </c>
      <c r="H17" s="34">
        <v>50</v>
      </c>
      <c r="I17" s="34"/>
      <c r="J17" s="88">
        <f t="shared" si="0"/>
        <v>0</v>
      </c>
      <c r="K17" s="96"/>
      <c r="L17" s="96"/>
      <c r="M17" s="96"/>
      <c r="N17" s="125" t="s">
        <v>591</v>
      </c>
      <c r="O17" s="40" t="str">
        <f t="shared" si="1"/>
        <v>⬜ Aguardando 3º contato</v>
      </c>
      <c r="P17" s="41" t="str">
        <f t="shared" si="2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">
      <c r="A18" s="1"/>
      <c r="B18" s="212" t="s">
        <v>189</v>
      </c>
      <c r="C18" s="23">
        <v>14</v>
      </c>
      <c r="D18" s="23">
        <v>9</v>
      </c>
      <c r="E18" s="24">
        <v>4</v>
      </c>
      <c r="F18" s="120" t="s">
        <v>381</v>
      </c>
      <c r="G18" s="24">
        <v>34</v>
      </c>
      <c r="H18" s="24">
        <v>14</v>
      </c>
      <c r="I18" s="24">
        <f>6</f>
        <v>6</v>
      </c>
      <c r="J18" s="82">
        <f t="shared" si="0"/>
        <v>0.42857142857142855</v>
      </c>
      <c r="K18" s="95">
        <v>46181</v>
      </c>
      <c r="L18" s="95"/>
      <c r="M18" s="95"/>
      <c r="N18" s="120" t="s">
        <v>628</v>
      </c>
      <c r="O18" s="30" t="str">
        <f t="shared" si="1"/>
        <v>⬜ Aguardando 3º contato</v>
      </c>
      <c r="P18" s="32" t="str">
        <f t="shared" si="2"/>
        <v>🚨 CRÍTICO: Alta incidência + baixo aproveitamento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">
      <c r="A19" s="1"/>
      <c r="B19" s="214"/>
      <c r="C19" s="124">
        <v>16</v>
      </c>
      <c r="D19" s="23">
        <v>18</v>
      </c>
      <c r="E19" s="24">
        <v>5</v>
      </c>
      <c r="F19" s="120" t="s">
        <v>382</v>
      </c>
      <c r="G19" s="94">
        <v>35</v>
      </c>
      <c r="H19" s="202">
        <f>29+15</f>
        <v>44</v>
      </c>
      <c r="I19" s="203">
        <f>24+10</f>
        <v>34</v>
      </c>
      <c r="J19" s="204">
        <v>0.82799999999999996</v>
      </c>
      <c r="K19" s="205">
        <v>46155</v>
      </c>
      <c r="L19" s="205">
        <v>46167</v>
      </c>
      <c r="M19" s="95">
        <v>46185</v>
      </c>
      <c r="N19" s="120" t="s">
        <v>629</v>
      </c>
      <c r="O19" s="30" t="str">
        <f t="shared" si="1"/>
        <v>🔵 Rever em 27/07/2026</v>
      </c>
      <c r="P19" s="32" t="str">
        <f t="shared" si="2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">
      <c r="A20" s="1"/>
      <c r="B20" s="215" t="s">
        <v>190</v>
      </c>
      <c r="C20" s="177">
        <v>3</v>
      </c>
      <c r="D20" s="124">
        <v>2</v>
      </c>
      <c r="E20" s="87">
        <v>5</v>
      </c>
      <c r="F20" s="125" t="s">
        <v>191</v>
      </c>
      <c r="G20" s="87">
        <v>39</v>
      </c>
      <c r="H20" s="87">
        <v>50</v>
      </c>
      <c r="I20" s="34"/>
      <c r="J20" s="88">
        <f t="shared" si="0"/>
        <v>0</v>
      </c>
      <c r="K20" s="96"/>
      <c r="L20" s="96"/>
      <c r="M20" s="96"/>
      <c r="N20" s="125" t="s">
        <v>591</v>
      </c>
      <c r="O20" s="40" t="str">
        <f t="shared" si="1"/>
        <v>⬜ Aguardando 3º contato</v>
      </c>
      <c r="P20" s="41" t="str">
        <f t="shared" si="2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1"/>
      <c r="B21" s="213"/>
      <c r="C21" s="177">
        <v>0</v>
      </c>
      <c r="D21" s="179">
        <v>0</v>
      </c>
      <c r="E21" s="34">
        <v>2</v>
      </c>
      <c r="F21" s="125" t="s">
        <v>383</v>
      </c>
      <c r="G21" s="34">
        <v>24</v>
      </c>
      <c r="H21" s="34">
        <v>20</v>
      </c>
      <c r="I21" s="34"/>
      <c r="J21" s="88">
        <f t="shared" si="0"/>
        <v>0</v>
      </c>
      <c r="K21" s="96"/>
      <c r="L21" s="96"/>
      <c r="M21" s="96"/>
      <c r="N21" s="125" t="s">
        <v>588</v>
      </c>
      <c r="O21" s="40" t="str">
        <f t="shared" si="1"/>
        <v>⬜ Aguardando 3º contato</v>
      </c>
      <c r="P21" s="41" t="str">
        <f t="shared" si="2"/>
        <v/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">
      <c r="A22" s="1"/>
      <c r="B22" s="213"/>
      <c r="C22" s="179">
        <v>24</v>
      </c>
      <c r="D22" s="179">
        <v>13</v>
      </c>
      <c r="E22" s="34">
        <v>5</v>
      </c>
      <c r="F22" s="125" t="s">
        <v>384</v>
      </c>
      <c r="G22" s="128">
        <v>73</v>
      </c>
      <c r="H22" s="34">
        <v>30</v>
      </c>
      <c r="I22" s="34">
        <v>19</v>
      </c>
      <c r="J22" s="88">
        <f t="shared" si="0"/>
        <v>0.6333333333333333</v>
      </c>
      <c r="K22" s="96">
        <v>46071</v>
      </c>
      <c r="L22" s="96">
        <v>46126</v>
      </c>
      <c r="M22" s="96"/>
      <c r="N22" s="125" t="s">
        <v>630</v>
      </c>
      <c r="O22" s="40" t="str">
        <f t="shared" si="1"/>
        <v>⬜ Aguardando 3º contato</v>
      </c>
      <c r="P22" s="41" t="str">
        <f t="shared" si="2"/>
        <v>🚨 CRÍTICO: Alta incidência + baixo aproveitamento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">
      <c r="A23" s="1"/>
      <c r="B23" s="213"/>
      <c r="C23" s="179">
        <v>2</v>
      </c>
      <c r="D23" s="179">
        <v>23</v>
      </c>
      <c r="E23" s="34">
        <v>5</v>
      </c>
      <c r="F23" s="125" t="s">
        <v>385</v>
      </c>
      <c r="G23" s="128">
        <v>29</v>
      </c>
      <c r="H23" s="34">
        <v>39</v>
      </c>
      <c r="I23" s="34">
        <v>31</v>
      </c>
      <c r="J23" s="88">
        <f t="shared" si="0"/>
        <v>0.79487179487179482</v>
      </c>
      <c r="K23" s="96">
        <v>46135</v>
      </c>
      <c r="L23" s="96">
        <v>46147</v>
      </c>
      <c r="M23" s="96">
        <v>46164</v>
      </c>
      <c r="N23" s="125" t="s">
        <v>631</v>
      </c>
      <c r="O23" s="40" t="str">
        <f t="shared" si="1"/>
        <v>🟡 Rever em 21/06/2026</v>
      </c>
      <c r="P23" s="41" t="str">
        <f t="shared" si="2"/>
        <v>📌 Atenção: Alta incidência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">
      <c r="A24" s="1"/>
      <c r="B24" s="213"/>
      <c r="C24" s="179">
        <v>5</v>
      </c>
      <c r="D24" s="179">
        <v>8</v>
      </c>
      <c r="E24" s="34">
        <v>5</v>
      </c>
      <c r="F24" s="125" t="s">
        <v>386</v>
      </c>
      <c r="G24" s="34">
        <v>40</v>
      </c>
      <c r="H24" s="34">
        <v>50</v>
      </c>
      <c r="I24" s="91"/>
      <c r="J24" s="88">
        <f t="shared" si="0"/>
        <v>0</v>
      </c>
      <c r="K24" s="180"/>
      <c r="L24" s="180"/>
      <c r="M24" s="180"/>
      <c r="N24" s="125" t="s">
        <v>632</v>
      </c>
      <c r="O24" s="40" t="str">
        <f t="shared" si="1"/>
        <v>⬜ Aguardando 3º contato</v>
      </c>
      <c r="P24" s="41" t="str">
        <f t="shared" si="2"/>
        <v/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">
      <c r="A25" s="1"/>
      <c r="B25" s="216"/>
      <c r="C25" s="179">
        <v>10</v>
      </c>
      <c r="D25" s="179">
        <v>10</v>
      </c>
      <c r="E25" s="129">
        <v>5</v>
      </c>
      <c r="F25" s="241" t="s">
        <v>387</v>
      </c>
      <c r="G25" s="129">
        <v>33</v>
      </c>
      <c r="H25" s="129">
        <v>50</v>
      </c>
      <c r="I25" s="181"/>
      <c r="J25" s="182">
        <f t="shared" si="0"/>
        <v>0</v>
      </c>
      <c r="K25" s="183"/>
      <c r="L25" s="183"/>
      <c r="M25" s="183"/>
      <c r="N25" s="131" t="s">
        <v>633</v>
      </c>
      <c r="O25" s="40" t="str">
        <f t="shared" si="1"/>
        <v>⬜ Aguardando 3º contato</v>
      </c>
      <c r="P25" s="97" t="str">
        <f t="shared" si="2"/>
        <v/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">
      <c r="A26" s="1"/>
      <c r="B26" s="52"/>
      <c r="C26" s="53"/>
      <c r="D26" s="53"/>
      <c r="E26" s="53"/>
      <c r="F26" s="53" t="s">
        <v>101</v>
      </c>
      <c r="G26" s="54">
        <f>SUM(G6:G25)/60</f>
        <v>10.25</v>
      </c>
      <c r="H26" s="55">
        <v>641</v>
      </c>
      <c r="I26" s="233"/>
      <c r="J26" s="234"/>
      <c r="K26" s="234"/>
      <c r="L26" s="234"/>
      <c r="M26" s="234"/>
      <c r="N26" s="207"/>
      <c r="O26" s="57"/>
      <c r="P26" s="5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">
      <c r="A27" s="1"/>
      <c r="B27" s="52"/>
      <c r="C27" s="52"/>
      <c r="D27" s="52"/>
      <c r="E27" s="52"/>
      <c r="F27" s="52"/>
      <c r="G27" s="58" t="s">
        <v>102</v>
      </c>
      <c r="H27" s="59" t="s">
        <v>103</v>
      </c>
      <c r="I27" s="52"/>
      <c r="J27" s="52"/>
      <c r="K27" s="235"/>
      <c r="L27" s="234"/>
      <c r="M27" s="234"/>
      <c r="N27" s="207"/>
      <c r="O27" s="57"/>
      <c r="P27" s="5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"/>
      <c r="O28" s="4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"/>
      <c r="O29" s="4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"/>
      <c r="O30" s="4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"/>
      <c r="O32" s="4"/>
      <c r="P32" s="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"/>
      <c r="O33" s="4"/>
      <c r="P33" s="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"/>
      <c r="O34" s="4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"/>
      <c r="O35" s="4"/>
      <c r="P35" s="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"/>
      <c r="O36" s="4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"/>
      <c r="O37" s="4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"/>
      <c r="O38" s="4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"/>
      <c r="O39" s="4"/>
      <c r="P39" s="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"/>
      <c r="O40" s="4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"/>
      <c r="O41" s="4"/>
      <c r="P41" s="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"/>
      <c r="O42" s="4"/>
      <c r="P42" s="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"/>
      <c r="O43" s="4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"/>
      <c r="O46" s="4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"/>
      <c r="O48" s="4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"/>
      <c r="O49" s="4"/>
      <c r="P49" s="4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"/>
      <c r="O50" s="4"/>
      <c r="P50" s="4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"/>
      <c r="O51" s="4"/>
      <c r="P51" s="4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"/>
      <c r="O52" s="4"/>
      <c r="P52" s="4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"/>
      <c r="O53" s="4"/>
      <c r="P53" s="4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"/>
      <c r="O54" s="4"/>
      <c r="P54" s="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"/>
      <c r="O55" s="4"/>
      <c r="P55" s="4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"/>
      <c r="O56" s="4"/>
      <c r="P56" s="4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"/>
      <c r="O57" s="4"/>
      <c r="P57" s="4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"/>
      <c r="O58" s="4"/>
      <c r="P58" s="4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"/>
      <c r="O59" s="4"/>
      <c r="P59" s="4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"/>
      <c r="O60" s="4"/>
      <c r="P60" s="4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"/>
      <c r="O61" s="4"/>
      <c r="P61" s="4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"/>
      <c r="O62" s="4"/>
      <c r="P62" s="4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"/>
      <c r="O63" s="4"/>
      <c r="P63" s="4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"/>
      <c r="O64" s="4"/>
      <c r="P64" s="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"/>
      <c r="O65" s="4"/>
      <c r="P65" s="4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"/>
      <c r="O66" s="4"/>
      <c r="P66" s="4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"/>
      <c r="O67" s="4"/>
      <c r="P67" s="4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"/>
      <c r="O68" s="4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"/>
      <c r="O69" s="4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"/>
      <c r="O70" s="4"/>
      <c r="P70" s="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4"/>
      <c r="O71" s="4"/>
      <c r="P71" s="4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4"/>
      <c r="O72" s="4"/>
      <c r="P72" s="4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4"/>
      <c r="O73" s="4"/>
      <c r="P73" s="4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4"/>
      <c r="O74" s="4"/>
      <c r="P74" s="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4"/>
      <c r="O75" s="4"/>
      <c r="P75" s="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4"/>
      <c r="O76" s="4"/>
      <c r="P76" s="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4"/>
      <c r="O77" s="4"/>
      <c r="P77" s="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4"/>
      <c r="O78" s="4"/>
      <c r="P78" s="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4"/>
      <c r="O79" s="4"/>
      <c r="P79" s="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4"/>
      <c r="P80" s="4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4"/>
      <c r="O81" s="4"/>
      <c r="P81" s="4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4"/>
      <c r="O83" s="4"/>
      <c r="P83" s="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4"/>
      <c r="O84" s="4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4"/>
      <c r="O85" s="4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4"/>
      <c r="O86" s="4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4"/>
      <c r="O87" s="4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4"/>
      <c r="O88" s="4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4"/>
      <c r="O89" s="4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4"/>
      <c r="O90" s="4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4"/>
      <c r="O91" s="4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4"/>
      <c r="O92" s="4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4"/>
      <c r="O93" s="4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4"/>
      <c r="O94" s="4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4"/>
      <c r="O95" s="4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4"/>
      <c r="O96" s="4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4"/>
      <c r="O97" s="4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4"/>
      <c r="O98" s="4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4"/>
      <c r="O99" s="4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4"/>
      <c r="O100" s="4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4"/>
      <c r="O101" s="4"/>
      <c r="P101" s="4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4"/>
      <c r="O102" s="4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4"/>
      <c r="O103" s="4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4"/>
      <c r="O104" s="4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4"/>
      <c r="O105" s="4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4"/>
      <c r="O106" s="4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4"/>
      <c r="O107" s="4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4"/>
      <c r="O108" s="4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4"/>
      <c r="O109" s="4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4"/>
      <c r="O110" s="4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4"/>
      <c r="O111" s="4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4"/>
      <c r="O112" s="4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4"/>
      <c r="O113" s="4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4"/>
      <c r="O114" s="4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4"/>
      <c r="O115" s="4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4"/>
      <c r="O116" s="4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4"/>
      <c r="O117" s="4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4"/>
      <c r="O118" s="4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4"/>
      <c r="O119" s="4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4"/>
      <c r="O121" s="4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4"/>
      <c r="O122" s="4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4"/>
      <c r="O123" s="4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4"/>
      <c r="O124" s="4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4"/>
      <c r="O125" s="4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4"/>
      <c r="O126" s="4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4"/>
      <c r="O127" s="4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4"/>
      <c r="O128" s="4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4"/>
      <c r="O129" s="4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4"/>
      <c r="O130" s="4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4"/>
      <c r="O131" s="4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4"/>
      <c r="O132" s="4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4"/>
      <c r="O133" s="4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4"/>
      <c r="O134" s="4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4"/>
      <c r="O135" s="4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4"/>
      <c r="O136" s="4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4"/>
      <c r="O137" s="4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4"/>
      <c r="O138" s="4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4"/>
      <c r="O139" s="4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4"/>
      <c r="O140" s="4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4"/>
      <c r="O141" s="4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4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4"/>
      <c r="O143" s="4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4"/>
      <c r="O144" s="4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4"/>
      <c r="O145" s="4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4"/>
      <c r="O146" s="4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4"/>
      <c r="O147" s="4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4"/>
      <c r="O148" s="4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4"/>
      <c r="O149" s="4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4"/>
      <c r="O150" s="4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4"/>
      <c r="O151" s="4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4"/>
      <c r="O152" s="4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4"/>
      <c r="O153" s="4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4"/>
      <c r="O154" s="4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4"/>
      <c r="O155" s="4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4"/>
      <c r="O156" s="4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4"/>
      <c r="O157" s="4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4"/>
      <c r="O159" s="4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4"/>
      <c r="O160" s="4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4"/>
      <c r="O161" s="4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4"/>
      <c r="O162" s="4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4"/>
      <c r="O163" s="4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4"/>
      <c r="O164" s="4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4"/>
      <c r="O165" s="4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"/>
      <c r="O166" s="4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4"/>
      <c r="O167" s="4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4"/>
      <c r="O168" s="4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4"/>
      <c r="O169" s="4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4"/>
      <c r="O170" s="4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4"/>
      <c r="O171" s="4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4"/>
      <c r="O172" s="4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4"/>
      <c r="O173" s="4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4"/>
      <c r="O174" s="4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4"/>
      <c r="O175" s="4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4"/>
      <c r="O176" s="4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4"/>
      <c r="O177" s="4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4"/>
      <c r="O178" s="4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4"/>
      <c r="O179" s="4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4"/>
      <c r="O180" s="4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4"/>
      <c r="O181" s="4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4"/>
      <c r="O182" s="4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4"/>
      <c r="O183" s="4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4"/>
      <c r="O184" s="4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4"/>
      <c r="O185" s="4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4"/>
      <c r="O186" s="4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4"/>
      <c r="O187" s="4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4"/>
      <c r="O188" s="4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4"/>
      <c r="O189" s="4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4"/>
      <c r="O190" s="4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4"/>
      <c r="O191" s="4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4"/>
      <c r="O192" s="4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4"/>
      <c r="O193" s="4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4"/>
      <c r="O194" s="4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4"/>
      <c r="O195" s="4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4"/>
      <c r="O197" s="4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4"/>
      <c r="O199" s="4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4"/>
      <c r="O200" s="4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4"/>
      <c r="O201" s="4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4"/>
      <c r="O202" s="4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4"/>
      <c r="O203" s="4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4"/>
      <c r="O204" s="4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4"/>
      <c r="O205" s="4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4"/>
      <c r="O206" s="4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4"/>
      <c r="O207" s="4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4"/>
      <c r="O208" s="4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4"/>
      <c r="O209" s="4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4"/>
      <c r="O210" s="4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4"/>
      <c r="O211" s="4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4"/>
      <c r="O212" s="4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4"/>
      <c r="O213" s="4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4"/>
      <c r="O214" s="4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4"/>
      <c r="O215" s="4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4"/>
      <c r="O216" s="4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4"/>
      <c r="O217" s="4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4"/>
      <c r="O218" s="4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4"/>
      <c r="O219" s="4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4"/>
      <c r="O220" s="4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4"/>
      <c r="O221" s="4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4"/>
      <c r="O222" s="4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4"/>
      <c r="O223" s="4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4"/>
      <c r="O224" s="4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4"/>
      <c r="O225" s="4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4"/>
      <c r="O226" s="4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4"/>
      <c r="O227" s="4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">
      <c r="N228" s="62"/>
      <c r="O228" s="62"/>
      <c r="P228" s="62"/>
    </row>
    <row r="229" spans="1:29" ht="15.75" customHeight="1" x14ac:dyDescent="0.2">
      <c r="N229" s="62"/>
      <c r="O229" s="62"/>
      <c r="P229" s="62"/>
    </row>
    <row r="230" spans="1:29" ht="15.75" customHeight="1" x14ac:dyDescent="0.2">
      <c r="N230" s="62"/>
      <c r="O230" s="62"/>
      <c r="P230" s="62"/>
    </row>
    <row r="231" spans="1:29" ht="15.75" customHeight="1" x14ac:dyDescent="0.2">
      <c r="N231" s="62"/>
      <c r="O231" s="62"/>
      <c r="P231" s="62"/>
    </row>
    <row r="232" spans="1:29" ht="15.75" customHeight="1" x14ac:dyDescent="0.2">
      <c r="N232" s="62"/>
      <c r="O232" s="62"/>
      <c r="P232" s="62"/>
    </row>
    <row r="233" spans="1:29" ht="15.75" customHeight="1" x14ac:dyDescent="0.2">
      <c r="N233" s="62"/>
      <c r="O233" s="62"/>
      <c r="P233" s="62"/>
    </row>
    <row r="234" spans="1:29" ht="15.75" customHeight="1" x14ac:dyDescent="0.2">
      <c r="N234" s="62"/>
      <c r="O234" s="62"/>
      <c r="P234" s="62"/>
    </row>
    <row r="235" spans="1:29" ht="15.75" customHeight="1" x14ac:dyDescent="0.2">
      <c r="N235" s="62"/>
      <c r="O235" s="62"/>
      <c r="P235" s="62"/>
    </row>
    <row r="236" spans="1:29" ht="15.75" customHeight="1" x14ac:dyDescent="0.2">
      <c r="N236" s="62"/>
      <c r="O236" s="62"/>
      <c r="P236" s="62"/>
    </row>
    <row r="237" spans="1:29" ht="15.75" customHeight="1" x14ac:dyDescent="0.2">
      <c r="N237" s="62"/>
      <c r="O237" s="62"/>
      <c r="P237" s="62"/>
    </row>
    <row r="238" spans="1:29" ht="15.75" customHeight="1" x14ac:dyDescent="0.2">
      <c r="N238" s="62"/>
      <c r="O238" s="62"/>
      <c r="P238" s="62"/>
    </row>
    <row r="239" spans="1:29" ht="15.75" customHeight="1" x14ac:dyDescent="0.2">
      <c r="N239" s="62"/>
      <c r="O239" s="62"/>
      <c r="P239" s="62"/>
    </row>
    <row r="240" spans="1:29" ht="15.75" customHeight="1" x14ac:dyDescent="0.2">
      <c r="N240" s="62"/>
      <c r="O240" s="62"/>
      <c r="P240" s="62"/>
    </row>
    <row r="241" spans="14:16" ht="15.75" customHeight="1" x14ac:dyDescent="0.2">
      <c r="N241" s="62"/>
      <c r="O241" s="62"/>
      <c r="P241" s="62"/>
    </row>
    <row r="242" spans="14:16" ht="15.75" customHeight="1" x14ac:dyDescent="0.2">
      <c r="N242" s="62"/>
      <c r="O242" s="62"/>
      <c r="P242" s="62"/>
    </row>
    <row r="243" spans="14:16" ht="15.75" customHeight="1" x14ac:dyDescent="0.2">
      <c r="N243" s="62"/>
      <c r="O243" s="62"/>
      <c r="P243" s="62"/>
    </row>
    <row r="244" spans="14:16" ht="15.75" customHeight="1" x14ac:dyDescent="0.2">
      <c r="N244" s="62"/>
      <c r="O244" s="62"/>
      <c r="P244" s="62"/>
    </row>
    <row r="245" spans="14:16" ht="15.75" customHeight="1" x14ac:dyDescent="0.2">
      <c r="N245" s="62"/>
      <c r="O245" s="62"/>
      <c r="P245" s="62"/>
    </row>
    <row r="246" spans="14:16" ht="15.75" customHeight="1" x14ac:dyDescent="0.2">
      <c r="N246" s="62"/>
      <c r="O246" s="62"/>
      <c r="P246" s="62"/>
    </row>
    <row r="247" spans="14:16" ht="15.75" customHeight="1" x14ac:dyDescent="0.2">
      <c r="N247" s="62"/>
      <c r="O247" s="62"/>
      <c r="P247" s="62"/>
    </row>
    <row r="248" spans="14:16" ht="15.75" customHeight="1" x14ac:dyDescent="0.2">
      <c r="N248" s="62"/>
      <c r="O248" s="62"/>
      <c r="P248" s="62"/>
    </row>
    <row r="249" spans="14:16" ht="15.75" customHeight="1" x14ac:dyDescent="0.2">
      <c r="N249" s="62"/>
      <c r="O249" s="62"/>
      <c r="P249" s="62"/>
    </row>
    <row r="250" spans="14:16" ht="15.75" customHeight="1" x14ac:dyDescent="0.2">
      <c r="N250" s="62"/>
      <c r="O250" s="62"/>
      <c r="P250" s="62"/>
    </row>
    <row r="251" spans="14:16" ht="15.75" customHeight="1" x14ac:dyDescent="0.2">
      <c r="N251" s="62"/>
      <c r="O251" s="62"/>
      <c r="P251" s="62"/>
    </row>
    <row r="252" spans="14:16" ht="15.75" customHeight="1" x14ac:dyDescent="0.2">
      <c r="N252" s="62"/>
      <c r="O252" s="62"/>
      <c r="P252" s="62"/>
    </row>
    <row r="253" spans="14:16" ht="15.75" customHeight="1" x14ac:dyDescent="0.2">
      <c r="N253" s="62"/>
      <c r="O253" s="62"/>
      <c r="P253" s="62"/>
    </row>
    <row r="254" spans="14:16" ht="15.75" customHeight="1" x14ac:dyDescent="0.2">
      <c r="N254" s="62"/>
      <c r="O254" s="62"/>
      <c r="P254" s="62"/>
    </row>
    <row r="255" spans="14:16" ht="15.75" customHeight="1" x14ac:dyDescent="0.2">
      <c r="N255" s="62"/>
      <c r="O255" s="62"/>
      <c r="P255" s="62"/>
    </row>
    <row r="256" spans="14:16" ht="15.75" customHeight="1" x14ac:dyDescent="0.2">
      <c r="N256" s="62"/>
      <c r="O256" s="62"/>
      <c r="P256" s="62"/>
    </row>
    <row r="257" spans="14:16" ht="15.75" customHeight="1" x14ac:dyDescent="0.2">
      <c r="N257" s="62"/>
      <c r="O257" s="62"/>
      <c r="P257" s="62"/>
    </row>
    <row r="258" spans="14:16" ht="15.75" customHeight="1" x14ac:dyDescent="0.2">
      <c r="N258" s="62"/>
      <c r="O258" s="62"/>
      <c r="P258" s="62"/>
    </row>
    <row r="259" spans="14:16" ht="15.75" customHeight="1" x14ac:dyDescent="0.2">
      <c r="N259" s="62"/>
      <c r="O259" s="62"/>
      <c r="P259" s="62"/>
    </row>
    <row r="260" spans="14:16" ht="15.75" customHeight="1" x14ac:dyDescent="0.2">
      <c r="N260" s="62"/>
      <c r="O260" s="62"/>
      <c r="P260" s="62"/>
    </row>
    <row r="261" spans="14:16" ht="15.75" customHeight="1" x14ac:dyDescent="0.2">
      <c r="N261" s="62"/>
      <c r="O261" s="62"/>
      <c r="P261" s="62"/>
    </row>
    <row r="262" spans="14:16" ht="15.75" customHeight="1" x14ac:dyDescent="0.2">
      <c r="N262" s="62"/>
      <c r="O262" s="62"/>
      <c r="P262" s="62"/>
    </row>
    <row r="263" spans="14:16" ht="15.75" customHeight="1" x14ac:dyDescent="0.2">
      <c r="N263" s="62"/>
      <c r="O263" s="62"/>
      <c r="P263" s="62"/>
    </row>
    <row r="264" spans="14:16" ht="15.75" customHeight="1" x14ac:dyDescent="0.2">
      <c r="N264" s="62"/>
      <c r="O264" s="62"/>
      <c r="P264" s="62"/>
    </row>
    <row r="265" spans="14:16" ht="15.75" customHeight="1" x14ac:dyDescent="0.2">
      <c r="N265" s="62"/>
      <c r="O265" s="62"/>
      <c r="P265" s="62"/>
    </row>
    <row r="266" spans="14:16" ht="15.75" customHeight="1" x14ac:dyDescent="0.2">
      <c r="N266" s="62"/>
      <c r="O266" s="62"/>
      <c r="P266" s="62"/>
    </row>
    <row r="267" spans="14:16" ht="15.75" customHeight="1" x14ac:dyDescent="0.2">
      <c r="N267" s="62"/>
      <c r="O267" s="62"/>
      <c r="P267" s="62"/>
    </row>
    <row r="268" spans="14:16" ht="15.75" customHeight="1" x14ac:dyDescent="0.2">
      <c r="N268" s="62"/>
      <c r="O268" s="62"/>
      <c r="P268" s="62"/>
    </row>
    <row r="269" spans="14:16" ht="15.75" customHeight="1" x14ac:dyDescent="0.2">
      <c r="N269" s="62"/>
      <c r="O269" s="62"/>
      <c r="P269" s="62"/>
    </row>
    <row r="270" spans="14:16" ht="15.75" customHeight="1" x14ac:dyDescent="0.2">
      <c r="N270" s="62"/>
      <c r="O270" s="62"/>
      <c r="P270" s="62"/>
    </row>
    <row r="271" spans="14:16" ht="15.75" customHeight="1" x14ac:dyDescent="0.2">
      <c r="N271" s="62"/>
      <c r="O271" s="62"/>
      <c r="P271" s="62"/>
    </row>
    <row r="272" spans="14:16" ht="15.75" customHeight="1" x14ac:dyDescent="0.2">
      <c r="N272" s="62"/>
      <c r="O272" s="62"/>
      <c r="P272" s="62"/>
    </row>
    <row r="273" spans="14:16" ht="15.75" customHeight="1" x14ac:dyDescent="0.2">
      <c r="N273" s="62"/>
      <c r="O273" s="62"/>
      <c r="P273" s="62"/>
    </row>
    <row r="274" spans="14:16" ht="15.75" customHeight="1" x14ac:dyDescent="0.2">
      <c r="N274" s="62"/>
      <c r="O274" s="62"/>
      <c r="P274" s="62"/>
    </row>
    <row r="275" spans="14:16" ht="15.75" customHeight="1" x14ac:dyDescent="0.2">
      <c r="N275" s="62"/>
      <c r="O275" s="62"/>
      <c r="P275" s="62"/>
    </row>
    <row r="276" spans="14:16" ht="15.75" customHeight="1" x14ac:dyDescent="0.2">
      <c r="N276" s="62"/>
      <c r="O276" s="62"/>
      <c r="P276" s="62"/>
    </row>
    <row r="277" spans="14:16" ht="15.75" customHeight="1" x14ac:dyDescent="0.2">
      <c r="N277" s="62"/>
      <c r="O277" s="62"/>
      <c r="P277" s="62"/>
    </row>
    <row r="278" spans="14:16" ht="15.75" customHeight="1" x14ac:dyDescent="0.2">
      <c r="N278" s="62"/>
      <c r="O278" s="62"/>
      <c r="P278" s="62"/>
    </row>
    <row r="279" spans="14:16" ht="15.75" customHeight="1" x14ac:dyDescent="0.2">
      <c r="N279" s="62"/>
      <c r="O279" s="62"/>
      <c r="P279" s="62"/>
    </row>
    <row r="280" spans="14:16" ht="15.75" customHeight="1" x14ac:dyDescent="0.2">
      <c r="N280" s="62"/>
      <c r="O280" s="62"/>
      <c r="P280" s="62"/>
    </row>
    <row r="281" spans="14:16" ht="15.75" customHeight="1" x14ac:dyDescent="0.2">
      <c r="N281" s="62"/>
      <c r="O281" s="62"/>
      <c r="P281" s="62"/>
    </row>
    <row r="282" spans="14:16" ht="15.75" customHeight="1" x14ac:dyDescent="0.2">
      <c r="N282" s="62"/>
      <c r="O282" s="62"/>
      <c r="P282" s="62"/>
    </row>
    <row r="283" spans="14:16" ht="15.75" customHeight="1" x14ac:dyDescent="0.2">
      <c r="N283" s="62"/>
      <c r="O283" s="62"/>
      <c r="P283" s="62"/>
    </row>
    <row r="284" spans="14:16" ht="15.75" customHeight="1" x14ac:dyDescent="0.2">
      <c r="N284" s="62"/>
      <c r="O284" s="62"/>
      <c r="P284" s="62"/>
    </row>
    <row r="285" spans="14:16" ht="15.75" customHeight="1" x14ac:dyDescent="0.2">
      <c r="N285" s="62"/>
      <c r="O285" s="62"/>
      <c r="P285" s="62"/>
    </row>
    <row r="286" spans="14:16" ht="15.75" customHeight="1" x14ac:dyDescent="0.2">
      <c r="N286" s="62"/>
      <c r="O286" s="62"/>
      <c r="P286" s="62"/>
    </row>
    <row r="287" spans="14:16" ht="15.75" customHeight="1" x14ac:dyDescent="0.2">
      <c r="N287" s="62"/>
      <c r="O287" s="62"/>
      <c r="P287" s="62"/>
    </row>
    <row r="288" spans="14:16" ht="15.75" customHeight="1" x14ac:dyDescent="0.2">
      <c r="N288" s="62"/>
      <c r="O288" s="62"/>
      <c r="P288" s="62"/>
    </row>
    <row r="289" spans="14:16" ht="15.75" customHeight="1" x14ac:dyDescent="0.2">
      <c r="N289" s="62"/>
      <c r="O289" s="62"/>
      <c r="P289" s="62"/>
    </row>
    <row r="290" spans="14:16" ht="15.75" customHeight="1" x14ac:dyDescent="0.2">
      <c r="N290" s="62"/>
      <c r="O290" s="62"/>
      <c r="P290" s="62"/>
    </row>
    <row r="291" spans="14:16" ht="15.75" customHeight="1" x14ac:dyDescent="0.2">
      <c r="N291" s="62"/>
      <c r="O291" s="62"/>
      <c r="P291" s="62"/>
    </row>
    <row r="292" spans="14:16" ht="15.75" customHeight="1" x14ac:dyDescent="0.2">
      <c r="N292" s="62"/>
      <c r="O292" s="62"/>
      <c r="P292" s="62"/>
    </row>
    <row r="293" spans="14:16" ht="15.75" customHeight="1" x14ac:dyDescent="0.2">
      <c r="N293" s="62"/>
      <c r="O293" s="62"/>
      <c r="P293" s="62"/>
    </row>
    <row r="294" spans="14:16" ht="15.75" customHeight="1" x14ac:dyDescent="0.2">
      <c r="N294" s="62"/>
      <c r="O294" s="62"/>
      <c r="P294" s="62"/>
    </row>
    <row r="295" spans="14:16" ht="15.75" customHeight="1" x14ac:dyDescent="0.2">
      <c r="N295" s="62"/>
      <c r="O295" s="62"/>
      <c r="P295" s="62"/>
    </row>
    <row r="296" spans="14:16" ht="15.75" customHeight="1" x14ac:dyDescent="0.2">
      <c r="N296" s="62"/>
      <c r="O296" s="62"/>
      <c r="P296" s="62"/>
    </row>
    <row r="297" spans="14:16" ht="15.75" customHeight="1" x14ac:dyDescent="0.2">
      <c r="N297" s="62"/>
      <c r="O297" s="62"/>
      <c r="P297" s="62"/>
    </row>
    <row r="298" spans="14:16" ht="15.75" customHeight="1" x14ac:dyDescent="0.2">
      <c r="N298" s="62"/>
      <c r="O298" s="62"/>
      <c r="P298" s="62"/>
    </row>
    <row r="299" spans="14:16" ht="15.75" customHeight="1" x14ac:dyDescent="0.2">
      <c r="N299" s="62"/>
      <c r="O299" s="62"/>
      <c r="P299" s="62"/>
    </row>
    <row r="300" spans="14:16" ht="15.75" customHeight="1" x14ac:dyDescent="0.2">
      <c r="N300" s="62"/>
      <c r="O300" s="62"/>
      <c r="P300" s="62"/>
    </row>
    <row r="301" spans="14:16" ht="15.75" customHeight="1" x14ac:dyDescent="0.2">
      <c r="N301" s="62"/>
      <c r="O301" s="62"/>
      <c r="P301" s="62"/>
    </row>
    <row r="302" spans="14:16" ht="15.75" customHeight="1" x14ac:dyDescent="0.2">
      <c r="N302" s="62"/>
      <c r="O302" s="62"/>
      <c r="P302" s="62"/>
    </row>
    <row r="303" spans="14:16" ht="15.75" customHeight="1" x14ac:dyDescent="0.2">
      <c r="N303" s="62"/>
      <c r="O303" s="62"/>
      <c r="P303" s="62"/>
    </row>
    <row r="304" spans="14:16" ht="15.75" customHeight="1" x14ac:dyDescent="0.2">
      <c r="N304" s="62"/>
      <c r="O304" s="62"/>
      <c r="P304" s="62"/>
    </row>
    <row r="305" spans="14:16" ht="15.75" customHeight="1" x14ac:dyDescent="0.2">
      <c r="N305" s="62"/>
      <c r="O305" s="62"/>
      <c r="P305" s="62"/>
    </row>
    <row r="306" spans="14:16" ht="15.75" customHeight="1" x14ac:dyDescent="0.2">
      <c r="N306" s="62"/>
      <c r="O306" s="62"/>
      <c r="P306" s="62"/>
    </row>
    <row r="307" spans="14:16" ht="15.75" customHeight="1" x14ac:dyDescent="0.2">
      <c r="N307" s="62"/>
      <c r="O307" s="62"/>
      <c r="P307" s="62"/>
    </row>
    <row r="308" spans="14:16" ht="15.75" customHeight="1" x14ac:dyDescent="0.2">
      <c r="N308" s="62"/>
      <c r="O308" s="62"/>
      <c r="P308" s="62"/>
    </row>
    <row r="309" spans="14:16" ht="15.75" customHeight="1" x14ac:dyDescent="0.2">
      <c r="N309" s="62"/>
      <c r="O309" s="62"/>
      <c r="P309" s="62"/>
    </row>
    <row r="310" spans="14:16" ht="15.75" customHeight="1" x14ac:dyDescent="0.2">
      <c r="N310" s="62"/>
      <c r="O310" s="62"/>
      <c r="P310" s="62"/>
    </row>
    <row r="311" spans="14:16" ht="15.75" customHeight="1" x14ac:dyDescent="0.2">
      <c r="N311" s="62"/>
      <c r="O311" s="62"/>
      <c r="P311" s="62"/>
    </row>
    <row r="312" spans="14:16" ht="15.75" customHeight="1" x14ac:dyDescent="0.2">
      <c r="N312" s="62"/>
      <c r="O312" s="62"/>
      <c r="P312" s="62"/>
    </row>
    <row r="313" spans="14:16" ht="15.75" customHeight="1" x14ac:dyDescent="0.2">
      <c r="N313" s="62"/>
      <c r="O313" s="62"/>
      <c r="P313" s="62"/>
    </row>
    <row r="314" spans="14:16" ht="15.75" customHeight="1" x14ac:dyDescent="0.2">
      <c r="N314" s="62"/>
      <c r="O314" s="62"/>
      <c r="P314" s="62"/>
    </row>
    <row r="315" spans="14:16" ht="15.75" customHeight="1" x14ac:dyDescent="0.2">
      <c r="N315" s="62"/>
      <c r="O315" s="62"/>
      <c r="P315" s="62"/>
    </row>
    <row r="316" spans="14:16" ht="15.75" customHeight="1" x14ac:dyDescent="0.2">
      <c r="N316" s="62"/>
      <c r="O316" s="62"/>
      <c r="P316" s="62"/>
    </row>
    <row r="317" spans="14:16" ht="15.75" customHeight="1" x14ac:dyDescent="0.2">
      <c r="N317" s="62"/>
      <c r="O317" s="62"/>
      <c r="P317" s="62"/>
    </row>
    <row r="318" spans="14:16" ht="15.75" customHeight="1" x14ac:dyDescent="0.2">
      <c r="N318" s="62"/>
      <c r="O318" s="62"/>
      <c r="P318" s="62"/>
    </row>
    <row r="319" spans="14:16" ht="15.75" customHeight="1" x14ac:dyDescent="0.2">
      <c r="N319" s="62"/>
      <c r="O319" s="62"/>
      <c r="P319" s="62"/>
    </row>
    <row r="320" spans="14:16" ht="15.75" customHeight="1" x14ac:dyDescent="0.2">
      <c r="N320" s="62"/>
      <c r="O320" s="62"/>
      <c r="P320" s="62"/>
    </row>
    <row r="321" spans="14:16" ht="15.75" customHeight="1" x14ac:dyDescent="0.2">
      <c r="N321" s="62"/>
      <c r="O321" s="62"/>
      <c r="P321" s="62"/>
    </row>
    <row r="322" spans="14:16" ht="15.75" customHeight="1" x14ac:dyDescent="0.2">
      <c r="N322" s="62"/>
      <c r="O322" s="62"/>
      <c r="P322" s="62"/>
    </row>
    <row r="323" spans="14:16" ht="15.75" customHeight="1" x14ac:dyDescent="0.2">
      <c r="N323" s="62"/>
      <c r="O323" s="62"/>
      <c r="P323" s="62"/>
    </row>
    <row r="324" spans="14:16" ht="15.75" customHeight="1" x14ac:dyDescent="0.2">
      <c r="N324" s="62"/>
      <c r="O324" s="62"/>
      <c r="P324" s="62"/>
    </row>
    <row r="325" spans="14:16" ht="15.75" customHeight="1" x14ac:dyDescent="0.2">
      <c r="N325" s="62"/>
      <c r="O325" s="62"/>
      <c r="P325" s="62"/>
    </row>
    <row r="326" spans="14:16" ht="15.75" customHeight="1" x14ac:dyDescent="0.2">
      <c r="N326" s="62"/>
      <c r="O326" s="62"/>
      <c r="P326" s="62"/>
    </row>
    <row r="327" spans="14:16" ht="15.75" customHeight="1" x14ac:dyDescent="0.2">
      <c r="N327" s="62"/>
      <c r="O327" s="62"/>
      <c r="P327" s="62"/>
    </row>
    <row r="328" spans="14:16" ht="15.75" customHeight="1" x14ac:dyDescent="0.2">
      <c r="N328" s="62"/>
      <c r="O328" s="62"/>
      <c r="P328" s="62"/>
    </row>
    <row r="329" spans="14:16" ht="15.75" customHeight="1" x14ac:dyDescent="0.2">
      <c r="N329" s="62"/>
      <c r="O329" s="62"/>
      <c r="P329" s="62"/>
    </row>
    <row r="330" spans="14:16" ht="15.75" customHeight="1" x14ac:dyDescent="0.2">
      <c r="N330" s="62"/>
      <c r="O330" s="62"/>
      <c r="P330" s="62"/>
    </row>
    <row r="331" spans="14:16" ht="15.75" customHeight="1" x14ac:dyDescent="0.2">
      <c r="N331" s="62"/>
      <c r="O331" s="62"/>
      <c r="P331" s="62"/>
    </row>
    <row r="332" spans="14:16" ht="15.75" customHeight="1" x14ac:dyDescent="0.2">
      <c r="N332" s="62"/>
      <c r="O332" s="62"/>
      <c r="P332" s="62"/>
    </row>
    <row r="333" spans="14:16" ht="15.75" customHeight="1" x14ac:dyDescent="0.2">
      <c r="N333" s="62"/>
      <c r="O333" s="62"/>
      <c r="P333" s="62"/>
    </row>
    <row r="334" spans="14:16" ht="15.75" customHeight="1" x14ac:dyDescent="0.2">
      <c r="N334" s="62"/>
      <c r="O334" s="62"/>
      <c r="P334" s="62"/>
    </row>
    <row r="335" spans="14:16" ht="15.75" customHeight="1" x14ac:dyDescent="0.2">
      <c r="N335" s="62"/>
      <c r="O335" s="62"/>
      <c r="P335" s="62"/>
    </row>
    <row r="336" spans="14:16" ht="15.75" customHeight="1" x14ac:dyDescent="0.2">
      <c r="N336" s="62"/>
      <c r="O336" s="62"/>
      <c r="P336" s="62"/>
    </row>
    <row r="337" spans="14:16" ht="15.75" customHeight="1" x14ac:dyDescent="0.2">
      <c r="N337" s="62"/>
      <c r="O337" s="62"/>
      <c r="P337" s="62"/>
    </row>
    <row r="338" spans="14:16" ht="15.75" customHeight="1" x14ac:dyDescent="0.2">
      <c r="N338" s="62"/>
      <c r="O338" s="62"/>
      <c r="P338" s="62"/>
    </row>
    <row r="339" spans="14:16" ht="15.75" customHeight="1" x14ac:dyDescent="0.2">
      <c r="N339" s="62"/>
      <c r="O339" s="62"/>
      <c r="P339" s="62"/>
    </row>
    <row r="340" spans="14:16" ht="15.75" customHeight="1" x14ac:dyDescent="0.2">
      <c r="N340" s="62"/>
      <c r="O340" s="62"/>
      <c r="P340" s="62"/>
    </row>
    <row r="341" spans="14:16" ht="15.75" customHeight="1" x14ac:dyDescent="0.2">
      <c r="N341" s="62"/>
      <c r="O341" s="62"/>
      <c r="P341" s="62"/>
    </row>
    <row r="342" spans="14:16" ht="15.75" customHeight="1" x14ac:dyDescent="0.2">
      <c r="N342" s="62"/>
      <c r="O342" s="62"/>
      <c r="P342" s="62"/>
    </row>
    <row r="343" spans="14:16" ht="15.75" customHeight="1" x14ac:dyDescent="0.2">
      <c r="N343" s="62"/>
      <c r="O343" s="62"/>
      <c r="P343" s="62"/>
    </row>
    <row r="344" spans="14:16" ht="15.75" customHeight="1" x14ac:dyDescent="0.2">
      <c r="N344" s="62"/>
      <c r="O344" s="62"/>
      <c r="P344" s="62"/>
    </row>
    <row r="345" spans="14:16" ht="15.75" customHeight="1" x14ac:dyDescent="0.2">
      <c r="N345" s="62"/>
      <c r="O345" s="62"/>
      <c r="P345" s="62"/>
    </row>
    <row r="346" spans="14:16" ht="15.75" customHeight="1" x14ac:dyDescent="0.2">
      <c r="N346" s="62"/>
      <c r="O346" s="62"/>
      <c r="P346" s="62"/>
    </row>
    <row r="347" spans="14:16" ht="15.75" customHeight="1" x14ac:dyDescent="0.2">
      <c r="N347" s="62"/>
      <c r="O347" s="62"/>
      <c r="P347" s="62"/>
    </row>
    <row r="348" spans="14:16" ht="15.75" customHeight="1" x14ac:dyDescent="0.2">
      <c r="N348" s="62"/>
      <c r="O348" s="62"/>
      <c r="P348" s="62"/>
    </row>
    <row r="349" spans="14:16" ht="15.75" customHeight="1" x14ac:dyDescent="0.2">
      <c r="N349" s="62"/>
      <c r="O349" s="62"/>
      <c r="P349" s="62"/>
    </row>
    <row r="350" spans="14:16" ht="15.75" customHeight="1" x14ac:dyDescent="0.2">
      <c r="N350" s="62"/>
      <c r="O350" s="62"/>
      <c r="P350" s="62"/>
    </row>
    <row r="351" spans="14:16" ht="15.75" customHeight="1" x14ac:dyDescent="0.2">
      <c r="N351" s="62"/>
      <c r="O351" s="62"/>
      <c r="P351" s="62"/>
    </row>
    <row r="352" spans="14:16" ht="15.75" customHeight="1" x14ac:dyDescent="0.2">
      <c r="N352" s="62"/>
      <c r="O352" s="62"/>
      <c r="P352" s="62"/>
    </row>
    <row r="353" spans="14:16" ht="15.75" customHeight="1" x14ac:dyDescent="0.2">
      <c r="N353" s="62"/>
      <c r="O353" s="62"/>
      <c r="P353" s="62"/>
    </row>
    <row r="354" spans="14:16" ht="15.75" customHeight="1" x14ac:dyDescent="0.2">
      <c r="N354" s="62"/>
      <c r="O354" s="62"/>
      <c r="P354" s="62"/>
    </row>
    <row r="355" spans="14:16" ht="15.75" customHeight="1" x14ac:dyDescent="0.2">
      <c r="N355" s="62"/>
      <c r="O355" s="62"/>
      <c r="P355" s="62"/>
    </row>
    <row r="356" spans="14:16" ht="15.75" customHeight="1" x14ac:dyDescent="0.2">
      <c r="N356" s="62"/>
      <c r="O356" s="62"/>
      <c r="P356" s="62"/>
    </row>
    <row r="357" spans="14:16" ht="15.75" customHeight="1" x14ac:dyDescent="0.2">
      <c r="N357" s="62"/>
      <c r="O357" s="62"/>
      <c r="P357" s="62"/>
    </row>
    <row r="358" spans="14:16" ht="15.75" customHeight="1" x14ac:dyDescent="0.2">
      <c r="N358" s="62"/>
      <c r="O358" s="62"/>
      <c r="P358" s="62"/>
    </row>
    <row r="359" spans="14:16" ht="15.75" customHeight="1" x14ac:dyDescent="0.2">
      <c r="N359" s="62"/>
      <c r="O359" s="62"/>
      <c r="P359" s="62"/>
    </row>
    <row r="360" spans="14:16" ht="15.75" customHeight="1" x14ac:dyDescent="0.2">
      <c r="N360" s="62"/>
      <c r="O360" s="62"/>
      <c r="P360" s="62"/>
    </row>
    <row r="361" spans="14:16" ht="15.75" customHeight="1" x14ac:dyDescent="0.2">
      <c r="N361" s="62"/>
      <c r="O361" s="62"/>
      <c r="P361" s="62"/>
    </row>
    <row r="362" spans="14:16" ht="15.75" customHeight="1" x14ac:dyDescent="0.2">
      <c r="N362" s="62"/>
      <c r="O362" s="62"/>
      <c r="P362" s="62"/>
    </row>
    <row r="363" spans="14:16" ht="15.75" customHeight="1" x14ac:dyDescent="0.2">
      <c r="N363" s="62"/>
      <c r="O363" s="62"/>
      <c r="P363" s="62"/>
    </row>
    <row r="364" spans="14:16" ht="15.75" customHeight="1" x14ac:dyDescent="0.2">
      <c r="N364" s="62"/>
      <c r="O364" s="62"/>
      <c r="P364" s="62"/>
    </row>
    <row r="365" spans="14:16" ht="15.75" customHeight="1" x14ac:dyDescent="0.2">
      <c r="N365" s="62"/>
      <c r="O365" s="62"/>
      <c r="P365" s="62"/>
    </row>
    <row r="366" spans="14:16" ht="15.75" customHeight="1" x14ac:dyDescent="0.2">
      <c r="N366" s="62"/>
      <c r="O366" s="62"/>
      <c r="P366" s="62"/>
    </row>
    <row r="367" spans="14:16" ht="15.75" customHeight="1" x14ac:dyDescent="0.2">
      <c r="N367" s="62"/>
      <c r="O367" s="62"/>
      <c r="P367" s="62"/>
    </row>
    <row r="368" spans="14:16" ht="15.75" customHeight="1" x14ac:dyDescent="0.2">
      <c r="N368" s="62"/>
      <c r="O368" s="62"/>
      <c r="P368" s="62"/>
    </row>
    <row r="369" spans="14:16" ht="15.75" customHeight="1" x14ac:dyDescent="0.2">
      <c r="N369" s="62"/>
      <c r="O369" s="62"/>
      <c r="P369" s="62"/>
    </row>
    <row r="370" spans="14:16" ht="15.75" customHeight="1" x14ac:dyDescent="0.2">
      <c r="N370" s="62"/>
      <c r="O370" s="62"/>
      <c r="P370" s="62"/>
    </row>
    <row r="371" spans="14:16" ht="15.75" customHeight="1" x14ac:dyDescent="0.2">
      <c r="N371" s="62"/>
      <c r="O371" s="62"/>
      <c r="P371" s="62"/>
    </row>
    <row r="372" spans="14:16" ht="15.75" customHeight="1" x14ac:dyDescent="0.2">
      <c r="N372" s="62"/>
      <c r="O372" s="62"/>
      <c r="P372" s="62"/>
    </row>
    <row r="373" spans="14:16" ht="15.75" customHeight="1" x14ac:dyDescent="0.2">
      <c r="N373" s="62"/>
      <c r="O373" s="62"/>
      <c r="P373" s="62"/>
    </row>
    <row r="374" spans="14:16" ht="15.75" customHeight="1" x14ac:dyDescent="0.2">
      <c r="N374" s="62"/>
      <c r="O374" s="62"/>
      <c r="P374" s="62"/>
    </row>
    <row r="375" spans="14:16" ht="15.75" customHeight="1" x14ac:dyDescent="0.2">
      <c r="N375" s="62"/>
      <c r="O375" s="62"/>
      <c r="P375" s="62"/>
    </row>
    <row r="376" spans="14:16" ht="15.75" customHeight="1" x14ac:dyDescent="0.2">
      <c r="N376" s="62"/>
      <c r="O376" s="62"/>
      <c r="P376" s="62"/>
    </row>
    <row r="377" spans="14:16" ht="15.75" customHeight="1" x14ac:dyDescent="0.2">
      <c r="N377" s="62"/>
      <c r="O377" s="62"/>
      <c r="P377" s="62"/>
    </row>
    <row r="378" spans="14:16" ht="15.75" customHeight="1" x14ac:dyDescent="0.2">
      <c r="N378" s="62"/>
      <c r="O378" s="62"/>
      <c r="P378" s="62"/>
    </row>
    <row r="379" spans="14:16" ht="15.75" customHeight="1" x14ac:dyDescent="0.2">
      <c r="N379" s="62"/>
      <c r="O379" s="62"/>
      <c r="P379" s="62"/>
    </row>
    <row r="380" spans="14:16" ht="15.75" customHeight="1" x14ac:dyDescent="0.2">
      <c r="N380" s="62"/>
      <c r="O380" s="62"/>
      <c r="P380" s="62"/>
    </row>
    <row r="381" spans="14:16" ht="15.75" customHeight="1" x14ac:dyDescent="0.2">
      <c r="N381" s="62"/>
      <c r="O381" s="62"/>
      <c r="P381" s="62"/>
    </row>
    <row r="382" spans="14:16" ht="15.75" customHeight="1" x14ac:dyDescent="0.2">
      <c r="N382" s="62"/>
      <c r="O382" s="62"/>
      <c r="P382" s="62"/>
    </row>
    <row r="383" spans="14:16" ht="15.75" customHeight="1" x14ac:dyDescent="0.2">
      <c r="N383" s="62"/>
      <c r="O383" s="62"/>
      <c r="P383" s="62"/>
    </row>
    <row r="384" spans="14:16" ht="15.75" customHeight="1" x14ac:dyDescent="0.2">
      <c r="N384" s="62"/>
      <c r="O384" s="62"/>
      <c r="P384" s="62"/>
    </row>
    <row r="385" spans="14:16" ht="15.75" customHeight="1" x14ac:dyDescent="0.2">
      <c r="N385" s="62"/>
      <c r="O385" s="62"/>
      <c r="P385" s="62"/>
    </row>
    <row r="386" spans="14:16" ht="15.75" customHeight="1" x14ac:dyDescent="0.2">
      <c r="N386" s="62"/>
      <c r="O386" s="62"/>
      <c r="P386" s="62"/>
    </row>
    <row r="387" spans="14:16" ht="15.75" customHeight="1" x14ac:dyDescent="0.2">
      <c r="N387" s="62"/>
      <c r="O387" s="62"/>
      <c r="P387" s="62"/>
    </row>
    <row r="388" spans="14:16" ht="15.75" customHeight="1" x14ac:dyDescent="0.2">
      <c r="N388" s="62"/>
      <c r="O388" s="62"/>
      <c r="P388" s="62"/>
    </row>
    <row r="389" spans="14:16" ht="15.75" customHeight="1" x14ac:dyDescent="0.2">
      <c r="N389" s="62"/>
      <c r="O389" s="62"/>
      <c r="P389" s="62"/>
    </row>
    <row r="390" spans="14:16" ht="15.75" customHeight="1" x14ac:dyDescent="0.2">
      <c r="N390" s="62"/>
      <c r="O390" s="62"/>
      <c r="P390" s="62"/>
    </row>
    <row r="391" spans="14:16" ht="15.75" customHeight="1" x14ac:dyDescent="0.2">
      <c r="N391" s="62"/>
      <c r="O391" s="62"/>
      <c r="P391" s="62"/>
    </row>
    <row r="392" spans="14:16" ht="15.75" customHeight="1" x14ac:dyDescent="0.2">
      <c r="N392" s="62"/>
      <c r="O392" s="62"/>
      <c r="P392" s="62"/>
    </row>
    <row r="393" spans="14:16" ht="15.75" customHeight="1" x14ac:dyDescent="0.2">
      <c r="N393" s="62"/>
      <c r="O393" s="62"/>
      <c r="P393" s="62"/>
    </row>
    <row r="394" spans="14:16" ht="15.75" customHeight="1" x14ac:dyDescent="0.2">
      <c r="N394" s="62"/>
      <c r="O394" s="62"/>
      <c r="P394" s="62"/>
    </row>
    <row r="395" spans="14:16" ht="15.75" customHeight="1" x14ac:dyDescent="0.2">
      <c r="N395" s="62"/>
      <c r="O395" s="62"/>
      <c r="P395" s="62"/>
    </row>
    <row r="396" spans="14:16" ht="15.75" customHeight="1" x14ac:dyDescent="0.2">
      <c r="N396" s="62"/>
      <c r="O396" s="62"/>
      <c r="P396" s="62"/>
    </row>
    <row r="397" spans="14:16" ht="15.75" customHeight="1" x14ac:dyDescent="0.2">
      <c r="N397" s="62"/>
      <c r="O397" s="62"/>
      <c r="P397" s="62"/>
    </row>
    <row r="398" spans="14:16" ht="15.75" customHeight="1" x14ac:dyDescent="0.2">
      <c r="N398" s="62"/>
      <c r="O398" s="62"/>
      <c r="P398" s="62"/>
    </row>
    <row r="399" spans="14:16" ht="15.75" customHeight="1" x14ac:dyDescent="0.2">
      <c r="N399" s="62"/>
      <c r="O399" s="62"/>
      <c r="P399" s="62"/>
    </row>
    <row r="400" spans="14:16" ht="15.75" customHeight="1" x14ac:dyDescent="0.2">
      <c r="N400" s="62"/>
      <c r="O400" s="62"/>
      <c r="P400" s="62"/>
    </row>
    <row r="401" spans="14:16" ht="15.75" customHeight="1" x14ac:dyDescent="0.2">
      <c r="N401" s="62"/>
      <c r="O401" s="62"/>
      <c r="P401" s="62"/>
    </row>
    <row r="402" spans="14:16" ht="15.75" customHeight="1" x14ac:dyDescent="0.2">
      <c r="N402" s="62"/>
      <c r="O402" s="62"/>
      <c r="P402" s="62"/>
    </row>
    <row r="403" spans="14:16" ht="15.75" customHeight="1" x14ac:dyDescent="0.2">
      <c r="N403" s="62"/>
      <c r="O403" s="62"/>
      <c r="P403" s="62"/>
    </row>
    <row r="404" spans="14:16" ht="15.75" customHeight="1" x14ac:dyDescent="0.2">
      <c r="N404" s="62"/>
      <c r="O404" s="62"/>
      <c r="P404" s="62"/>
    </row>
    <row r="405" spans="14:16" ht="15.75" customHeight="1" x14ac:dyDescent="0.2">
      <c r="N405" s="62"/>
      <c r="O405" s="62"/>
      <c r="P405" s="62"/>
    </row>
    <row r="406" spans="14:16" ht="15.75" customHeight="1" x14ac:dyDescent="0.2">
      <c r="N406" s="62"/>
      <c r="O406" s="62"/>
      <c r="P406" s="62"/>
    </row>
    <row r="407" spans="14:16" ht="15.75" customHeight="1" x14ac:dyDescent="0.2">
      <c r="N407" s="62"/>
      <c r="O407" s="62"/>
      <c r="P407" s="62"/>
    </row>
    <row r="408" spans="14:16" ht="15.75" customHeight="1" x14ac:dyDescent="0.2">
      <c r="N408" s="62"/>
      <c r="O408" s="62"/>
      <c r="P408" s="62"/>
    </row>
    <row r="409" spans="14:16" ht="15.75" customHeight="1" x14ac:dyDescent="0.2">
      <c r="N409" s="62"/>
      <c r="O409" s="62"/>
      <c r="P409" s="62"/>
    </row>
    <row r="410" spans="14:16" ht="15.75" customHeight="1" x14ac:dyDescent="0.2">
      <c r="N410" s="62"/>
      <c r="O410" s="62"/>
      <c r="P410" s="62"/>
    </row>
    <row r="411" spans="14:16" ht="15.75" customHeight="1" x14ac:dyDescent="0.2">
      <c r="N411" s="62"/>
      <c r="O411" s="62"/>
      <c r="P411" s="62"/>
    </row>
    <row r="412" spans="14:16" ht="15.75" customHeight="1" x14ac:dyDescent="0.2">
      <c r="N412" s="62"/>
      <c r="O412" s="62"/>
      <c r="P412" s="62"/>
    </row>
    <row r="413" spans="14:16" ht="15.75" customHeight="1" x14ac:dyDescent="0.2">
      <c r="N413" s="62"/>
      <c r="O413" s="62"/>
      <c r="P413" s="62"/>
    </row>
    <row r="414" spans="14:16" ht="15.75" customHeight="1" x14ac:dyDescent="0.2">
      <c r="N414" s="62"/>
      <c r="O414" s="62"/>
      <c r="P414" s="62"/>
    </row>
    <row r="415" spans="14:16" ht="15.75" customHeight="1" x14ac:dyDescent="0.2">
      <c r="N415" s="62"/>
      <c r="O415" s="62"/>
      <c r="P415" s="62"/>
    </row>
    <row r="416" spans="14:16" ht="15.75" customHeight="1" x14ac:dyDescent="0.2">
      <c r="N416" s="62"/>
      <c r="O416" s="62"/>
      <c r="P416" s="62"/>
    </row>
    <row r="417" spans="14:16" ht="15.75" customHeight="1" x14ac:dyDescent="0.2">
      <c r="N417" s="62"/>
      <c r="O417" s="62"/>
      <c r="P417" s="62"/>
    </row>
    <row r="418" spans="14:16" ht="15.75" customHeight="1" x14ac:dyDescent="0.2">
      <c r="N418" s="62"/>
      <c r="O418" s="62"/>
      <c r="P418" s="62"/>
    </row>
    <row r="419" spans="14:16" ht="15.75" customHeight="1" x14ac:dyDescent="0.2">
      <c r="N419" s="62"/>
      <c r="O419" s="62"/>
      <c r="P419" s="62"/>
    </row>
    <row r="420" spans="14:16" ht="15.75" customHeight="1" x14ac:dyDescent="0.2">
      <c r="N420" s="62"/>
      <c r="O420" s="62"/>
      <c r="P420" s="62"/>
    </row>
    <row r="421" spans="14:16" ht="15.75" customHeight="1" x14ac:dyDescent="0.2">
      <c r="N421" s="62"/>
      <c r="O421" s="62"/>
      <c r="P421" s="62"/>
    </row>
    <row r="422" spans="14:16" ht="15.75" customHeight="1" x14ac:dyDescent="0.2">
      <c r="N422" s="62"/>
      <c r="O422" s="62"/>
      <c r="P422" s="62"/>
    </row>
    <row r="423" spans="14:16" ht="15.75" customHeight="1" x14ac:dyDescent="0.2">
      <c r="N423" s="62"/>
      <c r="O423" s="62"/>
      <c r="P423" s="62"/>
    </row>
    <row r="424" spans="14:16" ht="15.75" customHeight="1" x14ac:dyDescent="0.2">
      <c r="N424" s="62"/>
      <c r="O424" s="62"/>
      <c r="P424" s="62"/>
    </row>
    <row r="425" spans="14:16" ht="15.75" customHeight="1" x14ac:dyDescent="0.2">
      <c r="N425" s="62"/>
      <c r="O425" s="62"/>
      <c r="P425" s="62"/>
    </row>
    <row r="426" spans="14:16" ht="15.75" customHeight="1" x14ac:dyDescent="0.2">
      <c r="N426" s="62"/>
      <c r="O426" s="62"/>
      <c r="P426" s="62"/>
    </row>
    <row r="427" spans="14:16" ht="15.75" customHeight="1" x14ac:dyDescent="0.2">
      <c r="N427" s="62"/>
      <c r="O427" s="62"/>
      <c r="P427" s="62"/>
    </row>
    <row r="428" spans="14:16" ht="15.75" customHeight="1" x14ac:dyDescent="0.2">
      <c r="N428" s="62"/>
      <c r="O428" s="62"/>
      <c r="P428" s="62"/>
    </row>
    <row r="429" spans="14:16" ht="15.75" customHeight="1" x14ac:dyDescent="0.2">
      <c r="N429" s="62"/>
      <c r="O429" s="62"/>
      <c r="P429" s="62"/>
    </row>
    <row r="430" spans="14:16" ht="15.75" customHeight="1" x14ac:dyDescent="0.2">
      <c r="N430" s="62"/>
      <c r="O430" s="62"/>
      <c r="P430" s="62"/>
    </row>
    <row r="431" spans="14:16" ht="15.75" customHeight="1" x14ac:dyDescent="0.2">
      <c r="N431" s="62"/>
      <c r="O431" s="62"/>
      <c r="P431" s="62"/>
    </row>
    <row r="432" spans="14:16" ht="15.75" customHeight="1" x14ac:dyDescent="0.2">
      <c r="N432" s="62"/>
      <c r="O432" s="62"/>
      <c r="P432" s="62"/>
    </row>
    <row r="433" spans="14:16" ht="15.75" customHeight="1" x14ac:dyDescent="0.2">
      <c r="N433" s="62"/>
      <c r="O433" s="62"/>
      <c r="P433" s="62"/>
    </row>
    <row r="434" spans="14:16" ht="15.75" customHeight="1" x14ac:dyDescent="0.2">
      <c r="N434" s="62"/>
      <c r="O434" s="62"/>
      <c r="P434" s="62"/>
    </row>
    <row r="435" spans="14:16" ht="15.75" customHeight="1" x14ac:dyDescent="0.2">
      <c r="N435" s="62"/>
      <c r="O435" s="62"/>
      <c r="P435" s="62"/>
    </row>
    <row r="436" spans="14:16" ht="15.75" customHeight="1" x14ac:dyDescent="0.2">
      <c r="N436" s="62"/>
      <c r="O436" s="62"/>
      <c r="P436" s="62"/>
    </row>
    <row r="437" spans="14:16" ht="15.75" customHeight="1" x14ac:dyDescent="0.2">
      <c r="N437" s="62"/>
      <c r="O437" s="62"/>
      <c r="P437" s="62"/>
    </row>
    <row r="438" spans="14:16" ht="15.75" customHeight="1" x14ac:dyDescent="0.2">
      <c r="N438" s="62"/>
      <c r="O438" s="62"/>
      <c r="P438" s="62"/>
    </row>
    <row r="439" spans="14:16" ht="15.75" customHeight="1" x14ac:dyDescent="0.2">
      <c r="N439" s="62"/>
      <c r="O439" s="62"/>
      <c r="P439" s="62"/>
    </row>
    <row r="440" spans="14:16" ht="15.75" customHeight="1" x14ac:dyDescent="0.2">
      <c r="N440" s="62"/>
      <c r="O440" s="62"/>
      <c r="P440" s="62"/>
    </row>
    <row r="441" spans="14:16" ht="15.75" customHeight="1" x14ac:dyDescent="0.2">
      <c r="N441" s="62"/>
      <c r="O441" s="62"/>
      <c r="P441" s="62"/>
    </row>
    <row r="442" spans="14:16" ht="15.75" customHeight="1" x14ac:dyDescent="0.2">
      <c r="N442" s="62"/>
      <c r="O442" s="62"/>
      <c r="P442" s="62"/>
    </row>
    <row r="443" spans="14:16" ht="15.75" customHeight="1" x14ac:dyDescent="0.2">
      <c r="N443" s="62"/>
      <c r="O443" s="62"/>
      <c r="P443" s="62"/>
    </row>
    <row r="444" spans="14:16" ht="15.75" customHeight="1" x14ac:dyDescent="0.2">
      <c r="N444" s="62"/>
      <c r="O444" s="62"/>
      <c r="P444" s="62"/>
    </row>
    <row r="445" spans="14:16" ht="15.75" customHeight="1" x14ac:dyDescent="0.2">
      <c r="N445" s="62"/>
      <c r="O445" s="62"/>
      <c r="P445" s="62"/>
    </row>
    <row r="446" spans="14:16" ht="15.75" customHeight="1" x14ac:dyDescent="0.2">
      <c r="N446" s="62"/>
      <c r="O446" s="62"/>
      <c r="P446" s="62"/>
    </row>
    <row r="447" spans="14:16" ht="15.75" customHeight="1" x14ac:dyDescent="0.2">
      <c r="N447" s="62"/>
      <c r="O447" s="62"/>
      <c r="P447" s="62"/>
    </row>
    <row r="448" spans="14:16" ht="15.75" customHeight="1" x14ac:dyDescent="0.2">
      <c r="N448" s="62"/>
      <c r="O448" s="62"/>
      <c r="P448" s="62"/>
    </row>
    <row r="449" spans="14:16" ht="15.75" customHeight="1" x14ac:dyDescent="0.2">
      <c r="N449" s="62"/>
      <c r="O449" s="62"/>
      <c r="P449" s="62"/>
    </row>
    <row r="450" spans="14:16" ht="15.75" customHeight="1" x14ac:dyDescent="0.2">
      <c r="N450" s="62"/>
      <c r="O450" s="62"/>
      <c r="P450" s="62"/>
    </row>
    <row r="451" spans="14:16" ht="15.75" customHeight="1" x14ac:dyDescent="0.2">
      <c r="N451" s="62"/>
      <c r="O451" s="62"/>
      <c r="P451" s="62"/>
    </row>
    <row r="452" spans="14:16" ht="15.75" customHeight="1" x14ac:dyDescent="0.2">
      <c r="N452" s="62"/>
      <c r="O452" s="62"/>
      <c r="P452" s="62"/>
    </row>
    <row r="453" spans="14:16" ht="15.75" customHeight="1" x14ac:dyDescent="0.2">
      <c r="N453" s="62"/>
      <c r="O453" s="62"/>
      <c r="P453" s="62"/>
    </row>
    <row r="454" spans="14:16" ht="15.75" customHeight="1" x14ac:dyDescent="0.2">
      <c r="N454" s="62"/>
      <c r="O454" s="62"/>
      <c r="P454" s="62"/>
    </row>
    <row r="455" spans="14:16" ht="15.75" customHeight="1" x14ac:dyDescent="0.2">
      <c r="N455" s="62"/>
      <c r="O455" s="62"/>
      <c r="P455" s="62"/>
    </row>
    <row r="456" spans="14:16" ht="15.75" customHeight="1" x14ac:dyDescent="0.2">
      <c r="N456" s="62"/>
      <c r="O456" s="62"/>
      <c r="P456" s="62"/>
    </row>
    <row r="457" spans="14:16" ht="15.75" customHeight="1" x14ac:dyDescent="0.2">
      <c r="N457" s="62"/>
      <c r="O457" s="62"/>
      <c r="P457" s="62"/>
    </row>
    <row r="458" spans="14:16" ht="15.75" customHeight="1" x14ac:dyDescent="0.2">
      <c r="N458" s="62"/>
      <c r="O458" s="62"/>
      <c r="P458" s="62"/>
    </row>
    <row r="459" spans="14:16" ht="15.75" customHeight="1" x14ac:dyDescent="0.2">
      <c r="N459" s="62"/>
      <c r="O459" s="62"/>
      <c r="P459" s="62"/>
    </row>
    <row r="460" spans="14:16" ht="15.75" customHeight="1" x14ac:dyDescent="0.2">
      <c r="N460" s="62"/>
      <c r="O460" s="62"/>
      <c r="P460" s="62"/>
    </row>
    <row r="461" spans="14:16" ht="15.75" customHeight="1" x14ac:dyDescent="0.2">
      <c r="N461" s="62"/>
      <c r="O461" s="62"/>
      <c r="P461" s="62"/>
    </row>
    <row r="462" spans="14:16" ht="15.75" customHeight="1" x14ac:dyDescent="0.2">
      <c r="N462" s="62"/>
      <c r="O462" s="62"/>
      <c r="P462" s="62"/>
    </row>
    <row r="463" spans="14:16" ht="15.75" customHeight="1" x14ac:dyDescent="0.2">
      <c r="N463" s="62"/>
      <c r="O463" s="62"/>
      <c r="P463" s="62"/>
    </row>
    <row r="464" spans="14:16" ht="15.75" customHeight="1" x14ac:dyDescent="0.2">
      <c r="N464" s="62"/>
      <c r="O464" s="62"/>
      <c r="P464" s="62"/>
    </row>
    <row r="465" spans="14:16" ht="15.75" customHeight="1" x14ac:dyDescent="0.2">
      <c r="N465" s="62"/>
      <c r="O465" s="62"/>
      <c r="P465" s="62"/>
    </row>
    <row r="466" spans="14:16" ht="15.75" customHeight="1" x14ac:dyDescent="0.2">
      <c r="N466" s="62"/>
      <c r="O466" s="62"/>
      <c r="P466" s="62"/>
    </row>
    <row r="467" spans="14:16" ht="15.75" customHeight="1" x14ac:dyDescent="0.2">
      <c r="N467" s="62"/>
      <c r="O467" s="62"/>
      <c r="P467" s="62"/>
    </row>
    <row r="468" spans="14:16" ht="15.75" customHeight="1" x14ac:dyDescent="0.2">
      <c r="N468" s="62"/>
      <c r="O468" s="62"/>
      <c r="P468" s="62"/>
    </row>
    <row r="469" spans="14:16" ht="15.75" customHeight="1" x14ac:dyDescent="0.2">
      <c r="N469" s="62"/>
      <c r="O469" s="62"/>
      <c r="P469" s="62"/>
    </row>
    <row r="470" spans="14:16" ht="15.75" customHeight="1" x14ac:dyDescent="0.2">
      <c r="N470" s="62"/>
      <c r="O470" s="62"/>
      <c r="P470" s="62"/>
    </row>
    <row r="471" spans="14:16" ht="15.75" customHeight="1" x14ac:dyDescent="0.2">
      <c r="N471" s="62"/>
      <c r="O471" s="62"/>
      <c r="P471" s="62"/>
    </row>
    <row r="472" spans="14:16" ht="15.75" customHeight="1" x14ac:dyDescent="0.2">
      <c r="N472" s="62"/>
      <c r="O472" s="62"/>
      <c r="P472" s="62"/>
    </row>
    <row r="473" spans="14:16" ht="15.75" customHeight="1" x14ac:dyDescent="0.2">
      <c r="N473" s="62"/>
      <c r="O473" s="62"/>
      <c r="P473" s="62"/>
    </row>
    <row r="474" spans="14:16" ht="15.75" customHeight="1" x14ac:dyDescent="0.2">
      <c r="N474" s="62"/>
      <c r="O474" s="62"/>
      <c r="P474" s="62"/>
    </row>
    <row r="475" spans="14:16" ht="15.75" customHeight="1" x14ac:dyDescent="0.2">
      <c r="N475" s="62"/>
      <c r="O475" s="62"/>
      <c r="P475" s="62"/>
    </row>
    <row r="476" spans="14:16" ht="15.75" customHeight="1" x14ac:dyDescent="0.2">
      <c r="N476" s="62"/>
      <c r="O476" s="62"/>
      <c r="P476" s="62"/>
    </row>
    <row r="477" spans="14:16" ht="15.75" customHeight="1" x14ac:dyDescent="0.2">
      <c r="N477" s="62"/>
      <c r="O477" s="62"/>
      <c r="P477" s="62"/>
    </row>
    <row r="478" spans="14:16" ht="15.75" customHeight="1" x14ac:dyDescent="0.2">
      <c r="N478" s="62"/>
      <c r="O478" s="62"/>
      <c r="P478" s="62"/>
    </row>
    <row r="479" spans="14:16" ht="15.75" customHeight="1" x14ac:dyDescent="0.2">
      <c r="N479" s="62"/>
      <c r="O479" s="62"/>
      <c r="P479" s="62"/>
    </row>
    <row r="480" spans="14:16" ht="15.75" customHeight="1" x14ac:dyDescent="0.2">
      <c r="N480" s="62"/>
      <c r="O480" s="62"/>
      <c r="P480" s="62"/>
    </row>
    <row r="481" spans="14:16" ht="15.75" customHeight="1" x14ac:dyDescent="0.2">
      <c r="N481" s="62"/>
      <c r="O481" s="62"/>
      <c r="P481" s="62"/>
    </row>
    <row r="482" spans="14:16" ht="15.75" customHeight="1" x14ac:dyDescent="0.2">
      <c r="N482" s="62"/>
      <c r="O482" s="62"/>
      <c r="P482" s="62"/>
    </row>
    <row r="483" spans="14:16" ht="15.75" customHeight="1" x14ac:dyDescent="0.2">
      <c r="N483" s="62"/>
      <c r="O483" s="62"/>
      <c r="P483" s="62"/>
    </row>
    <row r="484" spans="14:16" ht="15.75" customHeight="1" x14ac:dyDescent="0.2">
      <c r="N484" s="62"/>
      <c r="O484" s="62"/>
      <c r="P484" s="62"/>
    </row>
    <row r="485" spans="14:16" ht="15.75" customHeight="1" x14ac:dyDescent="0.2">
      <c r="N485" s="62"/>
      <c r="O485" s="62"/>
      <c r="P485" s="62"/>
    </row>
    <row r="486" spans="14:16" ht="15.75" customHeight="1" x14ac:dyDescent="0.2">
      <c r="N486" s="62"/>
      <c r="O486" s="62"/>
      <c r="P486" s="62"/>
    </row>
    <row r="487" spans="14:16" ht="15.75" customHeight="1" x14ac:dyDescent="0.2">
      <c r="N487" s="62"/>
      <c r="O487" s="62"/>
      <c r="P487" s="62"/>
    </row>
    <row r="488" spans="14:16" ht="15.75" customHeight="1" x14ac:dyDescent="0.2">
      <c r="N488" s="62"/>
      <c r="O488" s="62"/>
      <c r="P488" s="62"/>
    </row>
    <row r="489" spans="14:16" ht="15.75" customHeight="1" x14ac:dyDescent="0.2">
      <c r="N489" s="62"/>
      <c r="O489" s="62"/>
      <c r="P489" s="62"/>
    </row>
    <row r="490" spans="14:16" ht="15.75" customHeight="1" x14ac:dyDescent="0.2">
      <c r="N490" s="62"/>
      <c r="O490" s="62"/>
      <c r="P490" s="62"/>
    </row>
    <row r="491" spans="14:16" ht="15.75" customHeight="1" x14ac:dyDescent="0.2">
      <c r="N491" s="62"/>
      <c r="O491" s="62"/>
      <c r="P491" s="62"/>
    </row>
    <row r="492" spans="14:16" ht="15.75" customHeight="1" x14ac:dyDescent="0.2">
      <c r="N492" s="62"/>
      <c r="O492" s="62"/>
      <c r="P492" s="62"/>
    </row>
    <row r="493" spans="14:16" ht="15.75" customHeight="1" x14ac:dyDescent="0.2">
      <c r="N493" s="62"/>
      <c r="O493" s="62"/>
      <c r="P493" s="62"/>
    </row>
    <row r="494" spans="14:16" ht="15.75" customHeight="1" x14ac:dyDescent="0.2">
      <c r="N494" s="62"/>
      <c r="O494" s="62"/>
      <c r="P494" s="62"/>
    </row>
    <row r="495" spans="14:16" ht="15.75" customHeight="1" x14ac:dyDescent="0.2">
      <c r="N495" s="62"/>
      <c r="O495" s="62"/>
      <c r="P495" s="62"/>
    </row>
    <row r="496" spans="14:16" ht="15.75" customHeight="1" x14ac:dyDescent="0.2">
      <c r="N496" s="62"/>
      <c r="O496" s="62"/>
      <c r="P496" s="62"/>
    </row>
    <row r="497" spans="14:16" ht="15.75" customHeight="1" x14ac:dyDescent="0.2">
      <c r="N497" s="62"/>
      <c r="O497" s="62"/>
      <c r="P497" s="62"/>
    </row>
    <row r="498" spans="14:16" ht="15.75" customHeight="1" x14ac:dyDescent="0.2">
      <c r="N498" s="62"/>
      <c r="O498" s="62"/>
      <c r="P498" s="62"/>
    </row>
    <row r="499" spans="14:16" ht="15.75" customHeight="1" x14ac:dyDescent="0.2">
      <c r="N499" s="62"/>
      <c r="O499" s="62"/>
      <c r="P499" s="62"/>
    </row>
    <row r="500" spans="14:16" ht="15.75" customHeight="1" x14ac:dyDescent="0.2">
      <c r="N500" s="62"/>
      <c r="O500" s="62"/>
      <c r="P500" s="62"/>
    </row>
    <row r="501" spans="14:16" ht="15.75" customHeight="1" x14ac:dyDescent="0.2">
      <c r="N501" s="62"/>
      <c r="O501" s="62"/>
      <c r="P501" s="62"/>
    </row>
    <row r="502" spans="14:16" ht="15.75" customHeight="1" x14ac:dyDescent="0.2">
      <c r="N502" s="62"/>
      <c r="O502" s="62"/>
      <c r="P502" s="62"/>
    </row>
    <row r="503" spans="14:16" ht="15.75" customHeight="1" x14ac:dyDescent="0.2">
      <c r="N503" s="62"/>
      <c r="O503" s="62"/>
      <c r="P503" s="62"/>
    </row>
    <row r="504" spans="14:16" ht="15.75" customHeight="1" x14ac:dyDescent="0.2">
      <c r="N504" s="62"/>
      <c r="O504" s="62"/>
      <c r="P504" s="62"/>
    </row>
    <row r="505" spans="14:16" ht="15.75" customHeight="1" x14ac:dyDescent="0.2">
      <c r="N505" s="62"/>
      <c r="O505" s="62"/>
      <c r="P505" s="62"/>
    </row>
    <row r="506" spans="14:16" ht="15.75" customHeight="1" x14ac:dyDescent="0.2">
      <c r="N506" s="62"/>
      <c r="O506" s="62"/>
      <c r="P506" s="62"/>
    </row>
    <row r="507" spans="14:16" ht="15.75" customHeight="1" x14ac:dyDescent="0.2">
      <c r="N507" s="62"/>
      <c r="O507" s="62"/>
      <c r="P507" s="62"/>
    </row>
    <row r="508" spans="14:16" ht="15.75" customHeight="1" x14ac:dyDescent="0.2">
      <c r="N508" s="62"/>
      <c r="O508" s="62"/>
      <c r="P508" s="62"/>
    </row>
    <row r="509" spans="14:16" ht="15.75" customHeight="1" x14ac:dyDescent="0.2">
      <c r="N509" s="62"/>
      <c r="O509" s="62"/>
      <c r="P509" s="62"/>
    </row>
    <row r="510" spans="14:16" ht="15.75" customHeight="1" x14ac:dyDescent="0.2">
      <c r="N510" s="62"/>
      <c r="O510" s="62"/>
      <c r="P510" s="62"/>
    </row>
    <row r="511" spans="14:16" ht="15.75" customHeight="1" x14ac:dyDescent="0.2">
      <c r="N511" s="62"/>
      <c r="O511" s="62"/>
      <c r="P511" s="62"/>
    </row>
    <row r="512" spans="14:16" ht="15.75" customHeight="1" x14ac:dyDescent="0.2">
      <c r="N512" s="62"/>
      <c r="O512" s="62"/>
      <c r="P512" s="62"/>
    </row>
    <row r="513" spans="14:16" ht="15.75" customHeight="1" x14ac:dyDescent="0.2">
      <c r="N513" s="62"/>
      <c r="O513" s="62"/>
      <c r="P513" s="62"/>
    </row>
    <row r="514" spans="14:16" ht="15.75" customHeight="1" x14ac:dyDescent="0.2">
      <c r="N514" s="62"/>
      <c r="O514" s="62"/>
      <c r="P514" s="62"/>
    </row>
    <row r="515" spans="14:16" ht="15.75" customHeight="1" x14ac:dyDescent="0.2">
      <c r="N515" s="62"/>
      <c r="O515" s="62"/>
      <c r="P515" s="62"/>
    </row>
    <row r="516" spans="14:16" ht="15.75" customHeight="1" x14ac:dyDescent="0.2">
      <c r="N516" s="62"/>
      <c r="O516" s="62"/>
      <c r="P516" s="62"/>
    </row>
    <row r="517" spans="14:16" ht="15.75" customHeight="1" x14ac:dyDescent="0.2">
      <c r="N517" s="62"/>
      <c r="O517" s="62"/>
      <c r="P517" s="62"/>
    </row>
    <row r="518" spans="14:16" ht="15.75" customHeight="1" x14ac:dyDescent="0.2">
      <c r="N518" s="62"/>
      <c r="O518" s="62"/>
      <c r="P518" s="62"/>
    </row>
    <row r="519" spans="14:16" ht="15.75" customHeight="1" x14ac:dyDescent="0.2">
      <c r="N519" s="62"/>
      <c r="O519" s="62"/>
      <c r="P519" s="62"/>
    </row>
    <row r="520" spans="14:16" ht="15.75" customHeight="1" x14ac:dyDescent="0.2">
      <c r="N520" s="62"/>
      <c r="O520" s="62"/>
      <c r="P520" s="62"/>
    </row>
    <row r="521" spans="14:16" ht="15.75" customHeight="1" x14ac:dyDescent="0.2">
      <c r="N521" s="62"/>
      <c r="O521" s="62"/>
      <c r="P521" s="62"/>
    </row>
    <row r="522" spans="14:16" ht="15.75" customHeight="1" x14ac:dyDescent="0.2">
      <c r="N522" s="62"/>
      <c r="O522" s="62"/>
      <c r="P522" s="62"/>
    </row>
    <row r="523" spans="14:16" ht="15.75" customHeight="1" x14ac:dyDescent="0.2">
      <c r="N523" s="62"/>
      <c r="O523" s="62"/>
      <c r="P523" s="62"/>
    </row>
    <row r="524" spans="14:16" ht="15.75" customHeight="1" x14ac:dyDescent="0.2">
      <c r="N524" s="62"/>
      <c r="O524" s="62"/>
      <c r="P524" s="62"/>
    </row>
    <row r="525" spans="14:16" ht="15.75" customHeight="1" x14ac:dyDescent="0.2">
      <c r="N525" s="62"/>
      <c r="O525" s="62"/>
      <c r="P525" s="62"/>
    </row>
    <row r="526" spans="14:16" ht="15.75" customHeight="1" x14ac:dyDescent="0.2">
      <c r="N526" s="62"/>
      <c r="O526" s="62"/>
      <c r="P526" s="62"/>
    </row>
    <row r="527" spans="14:16" ht="15.75" customHeight="1" x14ac:dyDescent="0.2">
      <c r="N527" s="62"/>
      <c r="O527" s="62"/>
      <c r="P527" s="62"/>
    </row>
    <row r="528" spans="14:16" ht="15.75" customHeight="1" x14ac:dyDescent="0.2">
      <c r="N528" s="62"/>
      <c r="O528" s="62"/>
      <c r="P528" s="62"/>
    </row>
    <row r="529" spans="14:16" ht="15.75" customHeight="1" x14ac:dyDescent="0.2">
      <c r="N529" s="62"/>
      <c r="O529" s="62"/>
      <c r="P529" s="62"/>
    </row>
    <row r="530" spans="14:16" ht="15.75" customHeight="1" x14ac:dyDescent="0.2">
      <c r="N530" s="62"/>
      <c r="O530" s="62"/>
      <c r="P530" s="62"/>
    </row>
    <row r="531" spans="14:16" ht="15.75" customHeight="1" x14ac:dyDescent="0.2">
      <c r="N531" s="62"/>
      <c r="O531" s="62"/>
      <c r="P531" s="62"/>
    </row>
    <row r="532" spans="14:16" ht="15.75" customHeight="1" x14ac:dyDescent="0.2">
      <c r="N532" s="62"/>
      <c r="O532" s="62"/>
      <c r="P532" s="62"/>
    </row>
    <row r="533" spans="14:16" ht="15.75" customHeight="1" x14ac:dyDescent="0.2">
      <c r="N533" s="62"/>
      <c r="O533" s="62"/>
      <c r="P533" s="62"/>
    </row>
    <row r="534" spans="14:16" ht="15.75" customHeight="1" x14ac:dyDescent="0.2">
      <c r="N534" s="62"/>
      <c r="O534" s="62"/>
      <c r="P534" s="62"/>
    </row>
    <row r="535" spans="14:16" ht="15.75" customHeight="1" x14ac:dyDescent="0.2">
      <c r="N535" s="62"/>
      <c r="O535" s="62"/>
      <c r="P535" s="62"/>
    </row>
    <row r="536" spans="14:16" ht="15.75" customHeight="1" x14ac:dyDescent="0.2">
      <c r="N536" s="62"/>
      <c r="O536" s="62"/>
      <c r="P536" s="62"/>
    </row>
    <row r="537" spans="14:16" ht="15.75" customHeight="1" x14ac:dyDescent="0.2">
      <c r="N537" s="62"/>
      <c r="O537" s="62"/>
      <c r="P537" s="62"/>
    </row>
    <row r="538" spans="14:16" ht="15.75" customHeight="1" x14ac:dyDescent="0.2">
      <c r="N538" s="62"/>
      <c r="O538" s="62"/>
      <c r="P538" s="62"/>
    </row>
    <row r="539" spans="14:16" ht="15.75" customHeight="1" x14ac:dyDescent="0.2">
      <c r="N539" s="62"/>
      <c r="O539" s="62"/>
      <c r="P539" s="62"/>
    </row>
    <row r="540" spans="14:16" ht="15.75" customHeight="1" x14ac:dyDescent="0.2">
      <c r="N540" s="62"/>
      <c r="O540" s="62"/>
      <c r="P540" s="62"/>
    </row>
    <row r="541" spans="14:16" ht="15.75" customHeight="1" x14ac:dyDescent="0.2">
      <c r="N541" s="62"/>
      <c r="O541" s="62"/>
      <c r="P541" s="62"/>
    </row>
    <row r="542" spans="14:16" ht="15.75" customHeight="1" x14ac:dyDescent="0.2">
      <c r="N542" s="62"/>
      <c r="O542" s="62"/>
      <c r="P542" s="62"/>
    </row>
    <row r="543" spans="14:16" ht="15.75" customHeight="1" x14ac:dyDescent="0.2">
      <c r="N543" s="62"/>
      <c r="O543" s="62"/>
      <c r="P543" s="62"/>
    </row>
    <row r="544" spans="14:16" ht="15.75" customHeight="1" x14ac:dyDescent="0.2">
      <c r="N544" s="62"/>
      <c r="O544" s="62"/>
      <c r="P544" s="62"/>
    </row>
    <row r="545" spans="14:16" ht="15.75" customHeight="1" x14ac:dyDescent="0.2">
      <c r="N545" s="62"/>
      <c r="O545" s="62"/>
      <c r="P545" s="62"/>
    </row>
    <row r="546" spans="14:16" ht="15.75" customHeight="1" x14ac:dyDescent="0.2">
      <c r="N546" s="62"/>
      <c r="O546" s="62"/>
      <c r="P546" s="62"/>
    </row>
    <row r="547" spans="14:16" ht="15.75" customHeight="1" x14ac:dyDescent="0.2">
      <c r="N547" s="62"/>
      <c r="O547" s="62"/>
      <c r="P547" s="62"/>
    </row>
    <row r="548" spans="14:16" ht="15.75" customHeight="1" x14ac:dyDescent="0.2">
      <c r="N548" s="62"/>
      <c r="O548" s="62"/>
      <c r="P548" s="62"/>
    </row>
    <row r="549" spans="14:16" ht="15.75" customHeight="1" x14ac:dyDescent="0.2">
      <c r="N549" s="62"/>
      <c r="O549" s="62"/>
      <c r="P549" s="62"/>
    </row>
    <row r="550" spans="14:16" ht="15.75" customHeight="1" x14ac:dyDescent="0.2">
      <c r="N550" s="62"/>
      <c r="O550" s="62"/>
      <c r="P550" s="62"/>
    </row>
    <row r="551" spans="14:16" ht="15.75" customHeight="1" x14ac:dyDescent="0.2">
      <c r="N551" s="62"/>
      <c r="O551" s="62"/>
      <c r="P551" s="62"/>
    </row>
    <row r="552" spans="14:16" ht="15.75" customHeight="1" x14ac:dyDescent="0.2">
      <c r="N552" s="62"/>
      <c r="O552" s="62"/>
      <c r="P552" s="62"/>
    </row>
    <row r="553" spans="14:16" ht="15.75" customHeight="1" x14ac:dyDescent="0.2">
      <c r="N553" s="62"/>
      <c r="O553" s="62"/>
      <c r="P553" s="62"/>
    </row>
    <row r="554" spans="14:16" ht="15.75" customHeight="1" x14ac:dyDescent="0.2">
      <c r="N554" s="62"/>
      <c r="O554" s="62"/>
      <c r="P554" s="62"/>
    </row>
    <row r="555" spans="14:16" ht="15.75" customHeight="1" x14ac:dyDescent="0.2">
      <c r="N555" s="62"/>
      <c r="O555" s="62"/>
      <c r="P555" s="62"/>
    </row>
    <row r="556" spans="14:16" ht="15.75" customHeight="1" x14ac:dyDescent="0.2">
      <c r="N556" s="62"/>
      <c r="O556" s="62"/>
      <c r="P556" s="62"/>
    </row>
    <row r="557" spans="14:16" ht="15.75" customHeight="1" x14ac:dyDescent="0.2">
      <c r="N557" s="62"/>
      <c r="O557" s="62"/>
      <c r="P557" s="62"/>
    </row>
    <row r="558" spans="14:16" ht="15.75" customHeight="1" x14ac:dyDescent="0.2">
      <c r="N558" s="62"/>
      <c r="O558" s="62"/>
      <c r="P558" s="62"/>
    </row>
    <row r="559" spans="14:16" ht="15.75" customHeight="1" x14ac:dyDescent="0.2">
      <c r="N559" s="62"/>
      <c r="O559" s="62"/>
      <c r="P559" s="62"/>
    </row>
    <row r="560" spans="14:16" ht="15.75" customHeight="1" x14ac:dyDescent="0.2">
      <c r="N560" s="62"/>
      <c r="O560" s="62"/>
      <c r="P560" s="62"/>
    </row>
    <row r="561" spans="14:16" ht="15.75" customHeight="1" x14ac:dyDescent="0.2">
      <c r="N561" s="62"/>
      <c r="O561" s="62"/>
      <c r="P561" s="62"/>
    </row>
    <row r="562" spans="14:16" ht="15.75" customHeight="1" x14ac:dyDescent="0.2">
      <c r="N562" s="62"/>
      <c r="O562" s="62"/>
      <c r="P562" s="62"/>
    </row>
    <row r="563" spans="14:16" ht="15.75" customHeight="1" x14ac:dyDescent="0.2">
      <c r="N563" s="62"/>
      <c r="O563" s="62"/>
      <c r="P563" s="62"/>
    </row>
    <row r="564" spans="14:16" ht="15.75" customHeight="1" x14ac:dyDescent="0.2">
      <c r="N564" s="62"/>
      <c r="O564" s="62"/>
      <c r="P564" s="62"/>
    </row>
    <row r="565" spans="14:16" ht="15.75" customHeight="1" x14ac:dyDescent="0.2">
      <c r="N565" s="62"/>
      <c r="O565" s="62"/>
      <c r="P565" s="62"/>
    </row>
    <row r="566" spans="14:16" ht="15.75" customHeight="1" x14ac:dyDescent="0.2">
      <c r="N566" s="62"/>
      <c r="O566" s="62"/>
      <c r="P566" s="62"/>
    </row>
    <row r="567" spans="14:16" ht="15.75" customHeight="1" x14ac:dyDescent="0.2">
      <c r="N567" s="62"/>
      <c r="O567" s="62"/>
      <c r="P567" s="62"/>
    </row>
    <row r="568" spans="14:16" ht="15.75" customHeight="1" x14ac:dyDescent="0.2">
      <c r="N568" s="62"/>
      <c r="O568" s="62"/>
      <c r="P568" s="62"/>
    </row>
    <row r="569" spans="14:16" ht="15.75" customHeight="1" x14ac:dyDescent="0.2">
      <c r="N569" s="62"/>
      <c r="O569" s="62"/>
      <c r="P569" s="62"/>
    </row>
    <row r="570" spans="14:16" ht="15.75" customHeight="1" x14ac:dyDescent="0.2">
      <c r="N570" s="62"/>
      <c r="O570" s="62"/>
      <c r="P570" s="62"/>
    </row>
    <row r="571" spans="14:16" ht="15.75" customHeight="1" x14ac:dyDescent="0.2">
      <c r="N571" s="62"/>
      <c r="O571" s="62"/>
      <c r="P571" s="62"/>
    </row>
    <row r="572" spans="14:16" ht="15.75" customHeight="1" x14ac:dyDescent="0.2">
      <c r="N572" s="62"/>
      <c r="O572" s="62"/>
      <c r="P572" s="62"/>
    </row>
    <row r="573" spans="14:16" ht="15.75" customHeight="1" x14ac:dyDescent="0.2">
      <c r="N573" s="62"/>
      <c r="O573" s="62"/>
      <c r="P573" s="62"/>
    </row>
    <row r="574" spans="14:16" ht="15.75" customHeight="1" x14ac:dyDescent="0.2">
      <c r="N574" s="62"/>
      <c r="O574" s="62"/>
      <c r="P574" s="62"/>
    </row>
    <row r="575" spans="14:16" ht="15.75" customHeight="1" x14ac:dyDescent="0.2">
      <c r="N575" s="62"/>
      <c r="O575" s="62"/>
      <c r="P575" s="62"/>
    </row>
    <row r="576" spans="14:16" ht="15.75" customHeight="1" x14ac:dyDescent="0.2">
      <c r="N576" s="62"/>
      <c r="O576" s="62"/>
      <c r="P576" s="62"/>
    </row>
    <row r="577" spans="14:16" ht="15.75" customHeight="1" x14ac:dyDescent="0.2">
      <c r="N577" s="62"/>
      <c r="O577" s="62"/>
      <c r="P577" s="62"/>
    </row>
    <row r="578" spans="14:16" ht="15.75" customHeight="1" x14ac:dyDescent="0.2">
      <c r="N578" s="62"/>
      <c r="O578" s="62"/>
      <c r="P578" s="62"/>
    </row>
    <row r="579" spans="14:16" ht="15.75" customHeight="1" x14ac:dyDescent="0.2">
      <c r="N579" s="62"/>
      <c r="O579" s="62"/>
      <c r="P579" s="62"/>
    </row>
    <row r="580" spans="14:16" ht="15.75" customHeight="1" x14ac:dyDescent="0.2">
      <c r="N580" s="62"/>
      <c r="O580" s="62"/>
      <c r="P580" s="62"/>
    </row>
    <row r="581" spans="14:16" ht="15.75" customHeight="1" x14ac:dyDescent="0.2">
      <c r="N581" s="62"/>
      <c r="O581" s="62"/>
      <c r="P581" s="62"/>
    </row>
    <row r="582" spans="14:16" ht="15.75" customHeight="1" x14ac:dyDescent="0.2">
      <c r="N582" s="62"/>
      <c r="O582" s="62"/>
      <c r="P582" s="62"/>
    </row>
    <row r="583" spans="14:16" ht="15.75" customHeight="1" x14ac:dyDescent="0.2">
      <c r="N583" s="62"/>
      <c r="O583" s="62"/>
      <c r="P583" s="62"/>
    </row>
    <row r="584" spans="14:16" ht="15.75" customHeight="1" x14ac:dyDescent="0.2">
      <c r="N584" s="62"/>
      <c r="O584" s="62"/>
      <c r="P584" s="62"/>
    </row>
    <row r="585" spans="14:16" ht="15.75" customHeight="1" x14ac:dyDescent="0.2">
      <c r="N585" s="62"/>
      <c r="O585" s="62"/>
      <c r="P585" s="62"/>
    </row>
    <row r="586" spans="14:16" ht="15.75" customHeight="1" x14ac:dyDescent="0.2">
      <c r="N586" s="62"/>
      <c r="O586" s="62"/>
      <c r="P586" s="62"/>
    </row>
    <row r="587" spans="14:16" ht="15.75" customHeight="1" x14ac:dyDescent="0.2">
      <c r="N587" s="62"/>
      <c r="O587" s="62"/>
      <c r="P587" s="62"/>
    </row>
    <row r="588" spans="14:16" ht="15.75" customHeight="1" x14ac:dyDescent="0.2">
      <c r="N588" s="62"/>
      <c r="O588" s="62"/>
      <c r="P588" s="62"/>
    </row>
    <row r="589" spans="14:16" ht="15.75" customHeight="1" x14ac:dyDescent="0.2">
      <c r="N589" s="62"/>
      <c r="O589" s="62"/>
      <c r="P589" s="62"/>
    </row>
    <row r="590" spans="14:16" ht="15.75" customHeight="1" x14ac:dyDescent="0.2">
      <c r="N590" s="62"/>
      <c r="O590" s="62"/>
      <c r="P590" s="62"/>
    </row>
    <row r="591" spans="14:16" ht="15.75" customHeight="1" x14ac:dyDescent="0.2">
      <c r="N591" s="62"/>
      <c r="O591" s="62"/>
      <c r="P591" s="62"/>
    </row>
    <row r="592" spans="14:16" ht="15.75" customHeight="1" x14ac:dyDescent="0.2">
      <c r="N592" s="62"/>
      <c r="O592" s="62"/>
      <c r="P592" s="62"/>
    </row>
    <row r="593" spans="14:16" ht="15.75" customHeight="1" x14ac:dyDescent="0.2">
      <c r="N593" s="62"/>
      <c r="O593" s="62"/>
      <c r="P593" s="62"/>
    </row>
    <row r="594" spans="14:16" ht="15.75" customHeight="1" x14ac:dyDescent="0.2">
      <c r="N594" s="62"/>
      <c r="O594" s="62"/>
      <c r="P594" s="62"/>
    </row>
    <row r="595" spans="14:16" ht="15.75" customHeight="1" x14ac:dyDescent="0.2">
      <c r="N595" s="62"/>
      <c r="O595" s="62"/>
      <c r="P595" s="62"/>
    </row>
    <row r="596" spans="14:16" ht="15.75" customHeight="1" x14ac:dyDescent="0.2">
      <c r="N596" s="62"/>
      <c r="O596" s="62"/>
      <c r="P596" s="62"/>
    </row>
    <row r="597" spans="14:16" ht="15.75" customHeight="1" x14ac:dyDescent="0.2">
      <c r="N597" s="62"/>
      <c r="O597" s="62"/>
      <c r="P597" s="62"/>
    </row>
    <row r="598" spans="14:16" ht="15.75" customHeight="1" x14ac:dyDescent="0.2">
      <c r="N598" s="62"/>
      <c r="O598" s="62"/>
      <c r="P598" s="62"/>
    </row>
    <row r="599" spans="14:16" ht="15.75" customHeight="1" x14ac:dyDescent="0.2">
      <c r="N599" s="62"/>
      <c r="O599" s="62"/>
      <c r="P599" s="62"/>
    </row>
    <row r="600" spans="14:16" ht="15.75" customHeight="1" x14ac:dyDescent="0.2">
      <c r="N600" s="62"/>
      <c r="O600" s="62"/>
      <c r="P600" s="62"/>
    </row>
    <row r="601" spans="14:16" ht="15.75" customHeight="1" x14ac:dyDescent="0.2">
      <c r="N601" s="62"/>
      <c r="O601" s="62"/>
      <c r="P601" s="62"/>
    </row>
    <row r="602" spans="14:16" ht="15.75" customHeight="1" x14ac:dyDescent="0.2">
      <c r="N602" s="62"/>
      <c r="O602" s="62"/>
      <c r="P602" s="62"/>
    </row>
    <row r="603" spans="14:16" ht="15.75" customHeight="1" x14ac:dyDescent="0.2">
      <c r="N603" s="62"/>
      <c r="O603" s="62"/>
      <c r="P603" s="62"/>
    </row>
    <row r="604" spans="14:16" ht="15.75" customHeight="1" x14ac:dyDescent="0.2">
      <c r="N604" s="62"/>
      <c r="O604" s="62"/>
      <c r="P604" s="62"/>
    </row>
    <row r="605" spans="14:16" ht="15.75" customHeight="1" x14ac:dyDescent="0.2">
      <c r="N605" s="62"/>
      <c r="O605" s="62"/>
      <c r="P605" s="62"/>
    </row>
    <row r="606" spans="14:16" ht="15.75" customHeight="1" x14ac:dyDescent="0.2">
      <c r="N606" s="62"/>
      <c r="O606" s="62"/>
      <c r="P606" s="62"/>
    </row>
    <row r="607" spans="14:16" ht="15.75" customHeight="1" x14ac:dyDescent="0.2">
      <c r="N607" s="62"/>
      <c r="O607" s="62"/>
      <c r="P607" s="62"/>
    </row>
    <row r="608" spans="14:16" ht="15.75" customHeight="1" x14ac:dyDescent="0.2">
      <c r="N608" s="62"/>
      <c r="O608" s="62"/>
      <c r="P608" s="62"/>
    </row>
    <row r="609" spans="14:16" ht="15.75" customHeight="1" x14ac:dyDescent="0.2">
      <c r="N609" s="62"/>
      <c r="O609" s="62"/>
      <c r="P609" s="62"/>
    </row>
    <row r="610" spans="14:16" ht="15.75" customHeight="1" x14ac:dyDescent="0.2">
      <c r="N610" s="62"/>
      <c r="O610" s="62"/>
      <c r="P610" s="62"/>
    </row>
    <row r="611" spans="14:16" ht="15.75" customHeight="1" x14ac:dyDescent="0.2">
      <c r="N611" s="62"/>
      <c r="O611" s="62"/>
      <c r="P611" s="62"/>
    </row>
    <row r="612" spans="14:16" ht="15.75" customHeight="1" x14ac:dyDescent="0.2">
      <c r="N612" s="62"/>
      <c r="O612" s="62"/>
      <c r="P612" s="62"/>
    </row>
    <row r="613" spans="14:16" ht="15.75" customHeight="1" x14ac:dyDescent="0.2">
      <c r="N613" s="62"/>
      <c r="O613" s="62"/>
      <c r="P613" s="62"/>
    </row>
    <row r="614" spans="14:16" ht="15.75" customHeight="1" x14ac:dyDescent="0.2">
      <c r="N614" s="62"/>
      <c r="O614" s="62"/>
      <c r="P614" s="62"/>
    </row>
    <row r="615" spans="14:16" ht="15.75" customHeight="1" x14ac:dyDescent="0.2">
      <c r="N615" s="62"/>
      <c r="O615" s="62"/>
      <c r="P615" s="62"/>
    </row>
    <row r="616" spans="14:16" ht="15.75" customHeight="1" x14ac:dyDescent="0.2">
      <c r="N616" s="62"/>
      <c r="O616" s="62"/>
      <c r="P616" s="62"/>
    </row>
    <row r="617" spans="14:16" ht="15.75" customHeight="1" x14ac:dyDescent="0.2">
      <c r="N617" s="62"/>
      <c r="O617" s="62"/>
      <c r="P617" s="62"/>
    </row>
    <row r="618" spans="14:16" ht="15.75" customHeight="1" x14ac:dyDescent="0.2">
      <c r="N618" s="62"/>
      <c r="O618" s="62"/>
      <c r="P618" s="62"/>
    </row>
    <row r="619" spans="14:16" ht="15.75" customHeight="1" x14ac:dyDescent="0.2">
      <c r="N619" s="62"/>
      <c r="O619" s="62"/>
      <c r="P619" s="62"/>
    </row>
    <row r="620" spans="14:16" ht="15.75" customHeight="1" x14ac:dyDescent="0.2">
      <c r="N620" s="62"/>
      <c r="O620" s="62"/>
      <c r="P620" s="62"/>
    </row>
    <row r="621" spans="14:16" ht="15.75" customHeight="1" x14ac:dyDescent="0.2">
      <c r="N621" s="62"/>
      <c r="O621" s="62"/>
      <c r="P621" s="62"/>
    </row>
    <row r="622" spans="14:16" ht="15.75" customHeight="1" x14ac:dyDescent="0.2">
      <c r="N622" s="62"/>
      <c r="O622" s="62"/>
      <c r="P622" s="62"/>
    </row>
    <row r="623" spans="14:16" ht="15.75" customHeight="1" x14ac:dyDescent="0.2">
      <c r="N623" s="62"/>
      <c r="O623" s="62"/>
      <c r="P623" s="62"/>
    </row>
    <row r="624" spans="14:16" ht="15.75" customHeight="1" x14ac:dyDescent="0.2">
      <c r="N624" s="62"/>
      <c r="O624" s="62"/>
      <c r="P624" s="62"/>
    </row>
    <row r="625" spans="14:16" ht="15.75" customHeight="1" x14ac:dyDescent="0.2">
      <c r="N625" s="62"/>
      <c r="O625" s="62"/>
      <c r="P625" s="62"/>
    </row>
    <row r="626" spans="14:16" ht="15.75" customHeight="1" x14ac:dyDescent="0.2">
      <c r="N626" s="62"/>
      <c r="O626" s="62"/>
      <c r="P626" s="62"/>
    </row>
    <row r="627" spans="14:16" ht="15.75" customHeight="1" x14ac:dyDescent="0.2">
      <c r="N627" s="62"/>
      <c r="O627" s="62"/>
      <c r="P627" s="62"/>
    </row>
    <row r="628" spans="14:16" ht="15.75" customHeight="1" x14ac:dyDescent="0.2">
      <c r="N628" s="62"/>
      <c r="O628" s="62"/>
      <c r="P628" s="62"/>
    </row>
    <row r="629" spans="14:16" ht="15.75" customHeight="1" x14ac:dyDescent="0.2">
      <c r="N629" s="62"/>
      <c r="O629" s="62"/>
      <c r="P629" s="62"/>
    </row>
    <row r="630" spans="14:16" ht="15.75" customHeight="1" x14ac:dyDescent="0.2">
      <c r="N630" s="62"/>
      <c r="O630" s="62"/>
      <c r="P630" s="62"/>
    </row>
    <row r="631" spans="14:16" ht="15.75" customHeight="1" x14ac:dyDescent="0.2">
      <c r="N631" s="62"/>
      <c r="O631" s="62"/>
      <c r="P631" s="62"/>
    </row>
    <row r="632" spans="14:16" ht="15.75" customHeight="1" x14ac:dyDescent="0.2">
      <c r="N632" s="62"/>
      <c r="O632" s="62"/>
      <c r="P632" s="62"/>
    </row>
    <row r="633" spans="14:16" ht="15.75" customHeight="1" x14ac:dyDescent="0.2">
      <c r="N633" s="62"/>
      <c r="O633" s="62"/>
      <c r="P633" s="62"/>
    </row>
    <row r="634" spans="14:16" ht="15.75" customHeight="1" x14ac:dyDescent="0.2">
      <c r="N634" s="62"/>
      <c r="O634" s="62"/>
      <c r="P634" s="62"/>
    </row>
    <row r="635" spans="14:16" ht="15.75" customHeight="1" x14ac:dyDescent="0.2">
      <c r="N635" s="62"/>
      <c r="O635" s="62"/>
      <c r="P635" s="62"/>
    </row>
    <row r="636" spans="14:16" ht="15.75" customHeight="1" x14ac:dyDescent="0.2">
      <c r="N636" s="62"/>
      <c r="O636" s="62"/>
      <c r="P636" s="62"/>
    </row>
    <row r="637" spans="14:16" ht="15.75" customHeight="1" x14ac:dyDescent="0.2">
      <c r="N637" s="62"/>
      <c r="O637" s="62"/>
      <c r="P637" s="62"/>
    </row>
    <row r="638" spans="14:16" ht="15.75" customHeight="1" x14ac:dyDescent="0.2">
      <c r="N638" s="62"/>
      <c r="O638" s="62"/>
      <c r="P638" s="62"/>
    </row>
    <row r="639" spans="14:16" ht="15.75" customHeight="1" x14ac:dyDescent="0.2">
      <c r="N639" s="62"/>
      <c r="O639" s="62"/>
      <c r="P639" s="62"/>
    </row>
    <row r="640" spans="14:16" ht="15.75" customHeight="1" x14ac:dyDescent="0.2">
      <c r="N640" s="62"/>
      <c r="O640" s="62"/>
      <c r="P640" s="62"/>
    </row>
    <row r="641" spans="14:16" ht="15.75" customHeight="1" x14ac:dyDescent="0.2">
      <c r="N641" s="62"/>
      <c r="O641" s="62"/>
      <c r="P641" s="62"/>
    </row>
    <row r="642" spans="14:16" ht="15.75" customHeight="1" x14ac:dyDescent="0.2">
      <c r="N642" s="62"/>
      <c r="O642" s="62"/>
      <c r="P642" s="62"/>
    </row>
    <row r="643" spans="14:16" ht="15.75" customHeight="1" x14ac:dyDescent="0.2">
      <c r="N643" s="62"/>
      <c r="O643" s="62"/>
      <c r="P643" s="62"/>
    </row>
    <row r="644" spans="14:16" ht="15.75" customHeight="1" x14ac:dyDescent="0.2">
      <c r="N644" s="62"/>
      <c r="O644" s="62"/>
      <c r="P644" s="62"/>
    </row>
    <row r="645" spans="14:16" ht="15.75" customHeight="1" x14ac:dyDescent="0.2">
      <c r="N645" s="62"/>
      <c r="O645" s="62"/>
      <c r="P645" s="62"/>
    </row>
    <row r="646" spans="14:16" ht="15.75" customHeight="1" x14ac:dyDescent="0.2">
      <c r="N646" s="62"/>
      <c r="O646" s="62"/>
      <c r="P646" s="62"/>
    </row>
    <row r="647" spans="14:16" ht="15.75" customHeight="1" x14ac:dyDescent="0.2">
      <c r="N647" s="62"/>
      <c r="O647" s="62"/>
      <c r="P647" s="62"/>
    </row>
    <row r="648" spans="14:16" ht="15.75" customHeight="1" x14ac:dyDescent="0.2">
      <c r="N648" s="62"/>
      <c r="O648" s="62"/>
      <c r="P648" s="62"/>
    </row>
    <row r="649" spans="14:16" ht="15.75" customHeight="1" x14ac:dyDescent="0.2">
      <c r="N649" s="62"/>
      <c r="O649" s="62"/>
      <c r="P649" s="62"/>
    </row>
    <row r="650" spans="14:16" ht="15.75" customHeight="1" x14ac:dyDescent="0.2">
      <c r="N650" s="62"/>
      <c r="O650" s="62"/>
      <c r="P650" s="62"/>
    </row>
    <row r="651" spans="14:16" ht="15.75" customHeight="1" x14ac:dyDescent="0.2">
      <c r="N651" s="62"/>
      <c r="O651" s="62"/>
      <c r="P651" s="62"/>
    </row>
    <row r="652" spans="14:16" ht="15.75" customHeight="1" x14ac:dyDescent="0.2">
      <c r="N652" s="62"/>
      <c r="O652" s="62"/>
      <c r="P652" s="62"/>
    </row>
    <row r="653" spans="14:16" ht="15.75" customHeight="1" x14ac:dyDescent="0.2">
      <c r="N653" s="62"/>
      <c r="O653" s="62"/>
      <c r="P653" s="62"/>
    </row>
    <row r="654" spans="14:16" ht="15.75" customHeight="1" x14ac:dyDescent="0.2">
      <c r="N654" s="62"/>
      <c r="O654" s="62"/>
      <c r="P654" s="62"/>
    </row>
    <row r="655" spans="14:16" ht="15.75" customHeight="1" x14ac:dyDescent="0.2">
      <c r="N655" s="62"/>
      <c r="O655" s="62"/>
      <c r="P655" s="62"/>
    </row>
    <row r="656" spans="14:16" ht="15.75" customHeight="1" x14ac:dyDescent="0.2">
      <c r="N656" s="62"/>
      <c r="O656" s="62"/>
      <c r="P656" s="62"/>
    </row>
    <row r="657" spans="14:16" ht="15.75" customHeight="1" x14ac:dyDescent="0.2">
      <c r="N657" s="62"/>
      <c r="O657" s="62"/>
      <c r="P657" s="62"/>
    </row>
    <row r="658" spans="14:16" ht="15.75" customHeight="1" x14ac:dyDescent="0.2">
      <c r="N658" s="62"/>
      <c r="O658" s="62"/>
      <c r="P658" s="62"/>
    </row>
    <row r="659" spans="14:16" ht="15.75" customHeight="1" x14ac:dyDescent="0.2">
      <c r="N659" s="62"/>
      <c r="O659" s="62"/>
      <c r="P659" s="62"/>
    </row>
    <row r="660" spans="14:16" ht="15.75" customHeight="1" x14ac:dyDescent="0.2">
      <c r="N660" s="62"/>
      <c r="O660" s="62"/>
      <c r="P660" s="62"/>
    </row>
    <row r="661" spans="14:16" ht="15.75" customHeight="1" x14ac:dyDescent="0.2">
      <c r="N661" s="62"/>
      <c r="O661" s="62"/>
      <c r="P661" s="62"/>
    </row>
    <row r="662" spans="14:16" ht="15.75" customHeight="1" x14ac:dyDescent="0.2">
      <c r="N662" s="62"/>
      <c r="O662" s="62"/>
      <c r="P662" s="62"/>
    </row>
    <row r="663" spans="14:16" ht="15.75" customHeight="1" x14ac:dyDescent="0.2">
      <c r="N663" s="62"/>
      <c r="O663" s="62"/>
      <c r="P663" s="62"/>
    </row>
    <row r="664" spans="14:16" ht="15.75" customHeight="1" x14ac:dyDescent="0.2">
      <c r="N664" s="62"/>
      <c r="O664" s="62"/>
      <c r="P664" s="62"/>
    </row>
    <row r="665" spans="14:16" ht="15.75" customHeight="1" x14ac:dyDescent="0.2">
      <c r="N665" s="62"/>
      <c r="O665" s="62"/>
      <c r="P665" s="62"/>
    </row>
    <row r="666" spans="14:16" ht="15.75" customHeight="1" x14ac:dyDescent="0.2">
      <c r="N666" s="62"/>
      <c r="O666" s="62"/>
      <c r="P666" s="62"/>
    </row>
    <row r="667" spans="14:16" ht="15.75" customHeight="1" x14ac:dyDescent="0.2">
      <c r="N667" s="62"/>
      <c r="O667" s="62"/>
      <c r="P667" s="62"/>
    </row>
    <row r="668" spans="14:16" ht="15.75" customHeight="1" x14ac:dyDescent="0.2">
      <c r="N668" s="62"/>
      <c r="O668" s="62"/>
      <c r="P668" s="62"/>
    </row>
    <row r="669" spans="14:16" ht="15.75" customHeight="1" x14ac:dyDescent="0.2">
      <c r="N669" s="62"/>
      <c r="O669" s="62"/>
      <c r="P669" s="62"/>
    </row>
    <row r="670" spans="14:16" ht="15.75" customHeight="1" x14ac:dyDescent="0.2">
      <c r="N670" s="62"/>
      <c r="O670" s="62"/>
      <c r="P670" s="62"/>
    </row>
    <row r="671" spans="14:16" ht="15.75" customHeight="1" x14ac:dyDescent="0.2">
      <c r="N671" s="62"/>
      <c r="O671" s="62"/>
      <c r="P671" s="62"/>
    </row>
    <row r="672" spans="14:16" ht="15.75" customHeight="1" x14ac:dyDescent="0.2">
      <c r="N672" s="62"/>
      <c r="O672" s="62"/>
      <c r="P672" s="62"/>
    </row>
    <row r="673" spans="14:16" ht="15.75" customHeight="1" x14ac:dyDescent="0.2">
      <c r="N673" s="62"/>
      <c r="O673" s="62"/>
      <c r="P673" s="62"/>
    </row>
    <row r="674" spans="14:16" ht="15.75" customHeight="1" x14ac:dyDescent="0.2">
      <c r="N674" s="62"/>
      <c r="O674" s="62"/>
      <c r="P674" s="62"/>
    </row>
    <row r="675" spans="14:16" ht="15.75" customHeight="1" x14ac:dyDescent="0.2">
      <c r="N675" s="62"/>
      <c r="O675" s="62"/>
      <c r="P675" s="62"/>
    </row>
    <row r="676" spans="14:16" ht="15.75" customHeight="1" x14ac:dyDescent="0.2">
      <c r="N676" s="62"/>
      <c r="O676" s="62"/>
      <c r="P676" s="62"/>
    </row>
    <row r="677" spans="14:16" ht="15.75" customHeight="1" x14ac:dyDescent="0.2">
      <c r="N677" s="62"/>
      <c r="O677" s="62"/>
      <c r="P677" s="62"/>
    </row>
    <row r="678" spans="14:16" ht="15.75" customHeight="1" x14ac:dyDescent="0.2">
      <c r="N678" s="62"/>
      <c r="O678" s="62"/>
      <c r="P678" s="62"/>
    </row>
    <row r="679" spans="14:16" ht="15.75" customHeight="1" x14ac:dyDescent="0.2">
      <c r="N679" s="62"/>
      <c r="O679" s="62"/>
      <c r="P679" s="62"/>
    </row>
    <row r="680" spans="14:16" ht="15.75" customHeight="1" x14ac:dyDescent="0.2">
      <c r="N680" s="62"/>
      <c r="O680" s="62"/>
      <c r="P680" s="62"/>
    </row>
    <row r="681" spans="14:16" ht="15.75" customHeight="1" x14ac:dyDescent="0.2">
      <c r="N681" s="62"/>
      <c r="O681" s="62"/>
      <c r="P681" s="62"/>
    </row>
    <row r="682" spans="14:16" ht="15.75" customHeight="1" x14ac:dyDescent="0.2">
      <c r="N682" s="62"/>
      <c r="O682" s="62"/>
      <c r="P682" s="62"/>
    </row>
    <row r="683" spans="14:16" ht="15.75" customHeight="1" x14ac:dyDescent="0.2">
      <c r="N683" s="62"/>
      <c r="O683" s="62"/>
      <c r="P683" s="62"/>
    </row>
    <row r="684" spans="14:16" ht="15.75" customHeight="1" x14ac:dyDescent="0.2">
      <c r="N684" s="62"/>
      <c r="O684" s="62"/>
      <c r="P684" s="62"/>
    </row>
    <row r="685" spans="14:16" ht="15.75" customHeight="1" x14ac:dyDescent="0.2">
      <c r="N685" s="62"/>
      <c r="O685" s="62"/>
      <c r="P685" s="62"/>
    </row>
    <row r="686" spans="14:16" ht="15.75" customHeight="1" x14ac:dyDescent="0.2">
      <c r="N686" s="62"/>
      <c r="O686" s="62"/>
      <c r="P686" s="62"/>
    </row>
    <row r="687" spans="14:16" ht="15.75" customHeight="1" x14ac:dyDescent="0.2">
      <c r="N687" s="62"/>
      <c r="O687" s="62"/>
      <c r="P687" s="62"/>
    </row>
    <row r="688" spans="14:16" ht="15.75" customHeight="1" x14ac:dyDescent="0.2">
      <c r="N688" s="62"/>
      <c r="O688" s="62"/>
      <c r="P688" s="62"/>
    </row>
    <row r="689" spans="14:16" ht="15.75" customHeight="1" x14ac:dyDescent="0.2">
      <c r="N689" s="62"/>
      <c r="O689" s="62"/>
      <c r="P689" s="62"/>
    </row>
    <row r="690" spans="14:16" ht="15.75" customHeight="1" x14ac:dyDescent="0.2">
      <c r="N690" s="62"/>
      <c r="O690" s="62"/>
      <c r="P690" s="62"/>
    </row>
    <row r="691" spans="14:16" ht="15.75" customHeight="1" x14ac:dyDescent="0.2">
      <c r="N691" s="62"/>
      <c r="O691" s="62"/>
      <c r="P691" s="62"/>
    </row>
    <row r="692" spans="14:16" ht="15.75" customHeight="1" x14ac:dyDescent="0.2">
      <c r="N692" s="62"/>
      <c r="O692" s="62"/>
      <c r="P692" s="62"/>
    </row>
    <row r="693" spans="14:16" ht="15.75" customHeight="1" x14ac:dyDescent="0.2">
      <c r="N693" s="62"/>
      <c r="O693" s="62"/>
      <c r="P693" s="62"/>
    </row>
    <row r="694" spans="14:16" ht="15.75" customHeight="1" x14ac:dyDescent="0.2">
      <c r="N694" s="62"/>
      <c r="O694" s="62"/>
      <c r="P694" s="62"/>
    </row>
    <row r="695" spans="14:16" ht="15.75" customHeight="1" x14ac:dyDescent="0.2">
      <c r="N695" s="62"/>
      <c r="O695" s="62"/>
      <c r="P695" s="62"/>
    </row>
    <row r="696" spans="14:16" ht="15.75" customHeight="1" x14ac:dyDescent="0.2">
      <c r="N696" s="62"/>
      <c r="O696" s="62"/>
      <c r="P696" s="62"/>
    </row>
    <row r="697" spans="14:16" ht="15.75" customHeight="1" x14ac:dyDescent="0.2">
      <c r="N697" s="62"/>
      <c r="O697" s="62"/>
      <c r="P697" s="62"/>
    </row>
    <row r="698" spans="14:16" ht="15.75" customHeight="1" x14ac:dyDescent="0.2">
      <c r="N698" s="62"/>
      <c r="O698" s="62"/>
      <c r="P698" s="62"/>
    </row>
    <row r="699" spans="14:16" ht="15.75" customHeight="1" x14ac:dyDescent="0.2">
      <c r="N699" s="62"/>
      <c r="O699" s="62"/>
      <c r="P699" s="62"/>
    </row>
    <row r="700" spans="14:16" ht="15.75" customHeight="1" x14ac:dyDescent="0.2">
      <c r="N700" s="62"/>
      <c r="O700" s="62"/>
      <c r="P700" s="62"/>
    </row>
    <row r="701" spans="14:16" ht="15.75" customHeight="1" x14ac:dyDescent="0.2">
      <c r="N701" s="62"/>
      <c r="O701" s="62"/>
      <c r="P701" s="62"/>
    </row>
    <row r="702" spans="14:16" ht="15.75" customHeight="1" x14ac:dyDescent="0.2">
      <c r="N702" s="62"/>
      <c r="O702" s="62"/>
      <c r="P702" s="62"/>
    </row>
    <row r="703" spans="14:16" ht="15.75" customHeight="1" x14ac:dyDescent="0.2">
      <c r="N703" s="62"/>
      <c r="O703" s="62"/>
      <c r="P703" s="62"/>
    </row>
    <row r="704" spans="14:16" ht="15.75" customHeight="1" x14ac:dyDescent="0.2">
      <c r="N704" s="62"/>
      <c r="O704" s="62"/>
      <c r="P704" s="62"/>
    </row>
    <row r="705" spans="14:16" ht="15.75" customHeight="1" x14ac:dyDescent="0.2">
      <c r="N705" s="62"/>
      <c r="O705" s="62"/>
      <c r="P705" s="62"/>
    </row>
    <row r="706" spans="14:16" ht="15.75" customHeight="1" x14ac:dyDescent="0.2">
      <c r="N706" s="62"/>
      <c r="O706" s="62"/>
      <c r="P706" s="62"/>
    </row>
    <row r="707" spans="14:16" ht="15.75" customHeight="1" x14ac:dyDescent="0.2">
      <c r="N707" s="62"/>
      <c r="O707" s="62"/>
      <c r="P707" s="62"/>
    </row>
    <row r="708" spans="14:16" ht="15.75" customHeight="1" x14ac:dyDescent="0.2">
      <c r="N708" s="62"/>
      <c r="O708" s="62"/>
      <c r="P708" s="62"/>
    </row>
    <row r="709" spans="14:16" ht="15.75" customHeight="1" x14ac:dyDescent="0.2">
      <c r="N709" s="62"/>
      <c r="O709" s="62"/>
      <c r="P709" s="62"/>
    </row>
    <row r="710" spans="14:16" ht="15.75" customHeight="1" x14ac:dyDescent="0.2">
      <c r="N710" s="62"/>
      <c r="O710" s="62"/>
      <c r="P710" s="62"/>
    </row>
    <row r="711" spans="14:16" ht="15.75" customHeight="1" x14ac:dyDescent="0.2">
      <c r="N711" s="62"/>
      <c r="O711" s="62"/>
      <c r="P711" s="62"/>
    </row>
    <row r="712" spans="14:16" ht="15.75" customHeight="1" x14ac:dyDescent="0.2">
      <c r="N712" s="62"/>
      <c r="O712" s="62"/>
      <c r="P712" s="62"/>
    </row>
    <row r="713" spans="14:16" ht="15.75" customHeight="1" x14ac:dyDescent="0.2">
      <c r="N713" s="62"/>
      <c r="O713" s="62"/>
      <c r="P713" s="62"/>
    </row>
    <row r="714" spans="14:16" ht="15.75" customHeight="1" x14ac:dyDescent="0.2">
      <c r="N714" s="62"/>
      <c r="O714" s="62"/>
      <c r="P714" s="62"/>
    </row>
    <row r="715" spans="14:16" ht="15.75" customHeight="1" x14ac:dyDescent="0.2">
      <c r="N715" s="62"/>
      <c r="O715" s="62"/>
      <c r="P715" s="62"/>
    </row>
    <row r="716" spans="14:16" ht="15.75" customHeight="1" x14ac:dyDescent="0.2">
      <c r="N716" s="62"/>
      <c r="O716" s="62"/>
      <c r="P716" s="62"/>
    </row>
    <row r="717" spans="14:16" ht="15.75" customHeight="1" x14ac:dyDescent="0.2">
      <c r="N717" s="62"/>
      <c r="O717" s="62"/>
      <c r="P717" s="62"/>
    </row>
    <row r="718" spans="14:16" ht="15.75" customHeight="1" x14ac:dyDescent="0.2">
      <c r="N718" s="62"/>
      <c r="O718" s="62"/>
      <c r="P718" s="62"/>
    </row>
    <row r="719" spans="14:16" ht="15.75" customHeight="1" x14ac:dyDescent="0.2">
      <c r="N719" s="62"/>
      <c r="O719" s="62"/>
      <c r="P719" s="62"/>
    </row>
    <row r="720" spans="14:16" ht="15.75" customHeight="1" x14ac:dyDescent="0.2">
      <c r="N720" s="62"/>
      <c r="O720" s="62"/>
      <c r="P720" s="62"/>
    </row>
    <row r="721" spans="14:16" ht="15.75" customHeight="1" x14ac:dyDescent="0.2">
      <c r="N721" s="62"/>
      <c r="O721" s="62"/>
      <c r="P721" s="62"/>
    </row>
    <row r="722" spans="14:16" ht="15.75" customHeight="1" x14ac:dyDescent="0.2">
      <c r="N722" s="62"/>
      <c r="O722" s="62"/>
      <c r="P722" s="62"/>
    </row>
    <row r="723" spans="14:16" ht="15.75" customHeight="1" x14ac:dyDescent="0.2">
      <c r="N723" s="62"/>
      <c r="O723" s="62"/>
      <c r="P723" s="62"/>
    </row>
    <row r="724" spans="14:16" ht="15.75" customHeight="1" x14ac:dyDescent="0.2">
      <c r="N724" s="62"/>
      <c r="O724" s="62"/>
      <c r="P724" s="62"/>
    </row>
    <row r="725" spans="14:16" ht="15.75" customHeight="1" x14ac:dyDescent="0.2">
      <c r="N725" s="62"/>
      <c r="O725" s="62"/>
      <c r="P725" s="62"/>
    </row>
    <row r="726" spans="14:16" ht="15.75" customHeight="1" x14ac:dyDescent="0.2">
      <c r="N726" s="62"/>
      <c r="O726" s="62"/>
      <c r="P726" s="62"/>
    </row>
    <row r="727" spans="14:16" ht="15.75" customHeight="1" x14ac:dyDescent="0.2">
      <c r="N727" s="62"/>
      <c r="O727" s="62"/>
      <c r="P727" s="62"/>
    </row>
    <row r="728" spans="14:16" ht="15.75" customHeight="1" x14ac:dyDescent="0.2">
      <c r="N728" s="62"/>
      <c r="O728" s="62"/>
      <c r="P728" s="62"/>
    </row>
    <row r="729" spans="14:16" ht="15.75" customHeight="1" x14ac:dyDescent="0.2">
      <c r="N729" s="62"/>
      <c r="O729" s="62"/>
      <c r="P729" s="62"/>
    </row>
    <row r="730" spans="14:16" ht="15.75" customHeight="1" x14ac:dyDescent="0.2">
      <c r="N730" s="62"/>
      <c r="O730" s="62"/>
      <c r="P730" s="62"/>
    </row>
    <row r="731" spans="14:16" ht="15.75" customHeight="1" x14ac:dyDescent="0.2">
      <c r="N731" s="62"/>
      <c r="O731" s="62"/>
      <c r="P731" s="62"/>
    </row>
    <row r="732" spans="14:16" ht="15.75" customHeight="1" x14ac:dyDescent="0.2">
      <c r="N732" s="62"/>
      <c r="O732" s="62"/>
      <c r="P732" s="62"/>
    </row>
    <row r="733" spans="14:16" ht="15.75" customHeight="1" x14ac:dyDescent="0.2">
      <c r="N733" s="62"/>
      <c r="O733" s="62"/>
      <c r="P733" s="62"/>
    </row>
    <row r="734" spans="14:16" ht="15.75" customHeight="1" x14ac:dyDescent="0.2">
      <c r="N734" s="62"/>
      <c r="O734" s="62"/>
      <c r="P734" s="62"/>
    </row>
    <row r="735" spans="14:16" ht="15.75" customHeight="1" x14ac:dyDescent="0.2">
      <c r="N735" s="62"/>
      <c r="O735" s="62"/>
      <c r="P735" s="62"/>
    </row>
    <row r="736" spans="14:16" ht="15.75" customHeight="1" x14ac:dyDescent="0.2">
      <c r="N736" s="62"/>
      <c r="O736" s="62"/>
      <c r="P736" s="62"/>
    </row>
    <row r="737" spans="14:16" ht="15.75" customHeight="1" x14ac:dyDescent="0.2">
      <c r="N737" s="62"/>
      <c r="O737" s="62"/>
      <c r="P737" s="62"/>
    </row>
    <row r="738" spans="14:16" ht="15.75" customHeight="1" x14ac:dyDescent="0.2">
      <c r="N738" s="62"/>
      <c r="O738" s="62"/>
      <c r="P738" s="62"/>
    </row>
    <row r="739" spans="14:16" ht="15.75" customHeight="1" x14ac:dyDescent="0.2">
      <c r="N739" s="62"/>
      <c r="O739" s="62"/>
      <c r="P739" s="62"/>
    </row>
    <row r="740" spans="14:16" ht="15.75" customHeight="1" x14ac:dyDescent="0.2">
      <c r="N740" s="62"/>
      <c r="O740" s="62"/>
      <c r="P740" s="62"/>
    </row>
    <row r="741" spans="14:16" ht="15.75" customHeight="1" x14ac:dyDescent="0.2">
      <c r="N741" s="62"/>
      <c r="O741" s="62"/>
      <c r="P741" s="62"/>
    </row>
    <row r="742" spans="14:16" ht="15.75" customHeight="1" x14ac:dyDescent="0.2">
      <c r="N742" s="62"/>
      <c r="O742" s="62"/>
      <c r="P742" s="62"/>
    </row>
    <row r="743" spans="14:16" ht="15.75" customHeight="1" x14ac:dyDescent="0.2">
      <c r="N743" s="62"/>
      <c r="O743" s="62"/>
      <c r="P743" s="62"/>
    </row>
    <row r="744" spans="14:16" ht="15.75" customHeight="1" x14ac:dyDescent="0.2">
      <c r="N744" s="62"/>
      <c r="O744" s="62"/>
      <c r="P744" s="62"/>
    </row>
    <row r="745" spans="14:16" ht="15.75" customHeight="1" x14ac:dyDescent="0.2">
      <c r="N745" s="62"/>
      <c r="O745" s="62"/>
      <c r="P745" s="62"/>
    </row>
    <row r="746" spans="14:16" ht="15.75" customHeight="1" x14ac:dyDescent="0.2">
      <c r="N746" s="62"/>
      <c r="O746" s="62"/>
      <c r="P746" s="62"/>
    </row>
    <row r="747" spans="14:16" ht="15.75" customHeight="1" x14ac:dyDescent="0.2">
      <c r="N747" s="62"/>
      <c r="O747" s="62"/>
      <c r="P747" s="62"/>
    </row>
    <row r="748" spans="14:16" ht="15.75" customHeight="1" x14ac:dyDescent="0.2">
      <c r="N748" s="62"/>
      <c r="O748" s="62"/>
      <c r="P748" s="62"/>
    </row>
    <row r="749" spans="14:16" ht="15.75" customHeight="1" x14ac:dyDescent="0.2">
      <c r="N749" s="62"/>
      <c r="O749" s="62"/>
      <c r="P749" s="62"/>
    </row>
    <row r="750" spans="14:16" ht="15.75" customHeight="1" x14ac:dyDescent="0.2">
      <c r="N750" s="62"/>
      <c r="O750" s="62"/>
      <c r="P750" s="62"/>
    </row>
    <row r="751" spans="14:16" ht="15.75" customHeight="1" x14ac:dyDescent="0.2">
      <c r="N751" s="62"/>
      <c r="O751" s="62"/>
      <c r="P751" s="62"/>
    </row>
    <row r="752" spans="14:16" ht="15.75" customHeight="1" x14ac:dyDescent="0.2">
      <c r="N752" s="62"/>
      <c r="O752" s="62"/>
      <c r="P752" s="62"/>
    </row>
    <row r="753" spans="14:16" ht="15.75" customHeight="1" x14ac:dyDescent="0.2">
      <c r="N753" s="62"/>
      <c r="O753" s="62"/>
      <c r="P753" s="62"/>
    </row>
    <row r="754" spans="14:16" ht="15.75" customHeight="1" x14ac:dyDescent="0.2">
      <c r="N754" s="62"/>
      <c r="O754" s="62"/>
      <c r="P754" s="62"/>
    </row>
    <row r="755" spans="14:16" ht="15.75" customHeight="1" x14ac:dyDescent="0.2">
      <c r="N755" s="62"/>
      <c r="O755" s="62"/>
      <c r="P755" s="62"/>
    </row>
    <row r="756" spans="14:16" ht="15.75" customHeight="1" x14ac:dyDescent="0.2">
      <c r="N756" s="62"/>
      <c r="O756" s="62"/>
      <c r="P756" s="62"/>
    </row>
    <row r="757" spans="14:16" ht="15.75" customHeight="1" x14ac:dyDescent="0.2">
      <c r="N757" s="62"/>
      <c r="O757" s="62"/>
      <c r="P757" s="62"/>
    </row>
    <row r="758" spans="14:16" ht="15.75" customHeight="1" x14ac:dyDescent="0.2">
      <c r="N758" s="62"/>
      <c r="O758" s="62"/>
      <c r="P758" s="62"/>
    </row>
    <row r="759" spans="14:16" ht="15.75" customHeight="1" x14ac:dyDescent="0.2">
      <c r="N759" s="62"/>
      <c r="O759" s="62"/>
      <c r="P759" s="62"/>
    </row>
    <row r="760" spans="14:16" ht="15.75" customHeight="1" x14ac:dyDescent="0.2">
      <c r="N760" s="62"/>
      <c r="O760" s="62"/>
      <c r="P760" s="62"/>
    </row>
    <row r="761" spans="14:16" ht="15.75" customHeight="1" x14ac:dyDescent="0.2">
      <c r="N761" s="62"/>
      <c r="O761" s="62"/>
      <c r="P761" s="62"/>
    </row>
    <row r="762" spans="14:16" ht="15.75" customHeight="1" x14ac:dyDescent="0.2">
      <c r="N762" s="62"/>
      <c r="O762" s="62"/>
      <c r="P762" s="62"/>
    </row>
    <row r="763" spans="14:16" ht="15.75" customHeight="1" x14ac:dyDescent="0.2">
      <c r="N763" s="62"/>
      <c r="O763" s="62"/>
      <c r="P763" s="62"/>
    </row>
    <row r="764" spans="14:16" ht="15.75" customHeight="1" x14ac:dyDescent="0.2">
      <c r="N764" s="62"/>
      <c r="O764" s="62"/>
      <c r="P764" s="62"/>
    </row>
    <row r="765" spans="14:16" ht="15.75" customHeight="1" x14ac:dyDescent="0.2">
      <c r="N765" s="62"/>
      <c r="O765" s="62"/>
      <c r="P765" s="62"/>
    </row>
    <row r="766" spans="14:16" ht="15.75" customHeight="1" x14ac:dyDescent="0.2">
      <c r="N766" s="62"/>
      <c r="O766" s="62"/>
      <c r="P766" s="62"/>
    </row>
    <row r="767" spans="14:16" ht="15.75" customHeight="1" x14ac:dyDescent="0.2">
      <c r="N767" s="62"/>
      <c r="O767" s="62"/>
      <c r="P767" s="62"/>
    </row>
    <row r="768" spans="14:16" ht="15.75" customHeight="1" x14ac:dyDescent="0.2">
      <c r="N768" s="62"/>
      <c r="O768" s="62"/>
      <c r="P768" s="62"/>
    </row>
    <row r="769" spans="14:16" ht="15.75" customHeight="1" x14ac:dyDescent="0.2">
      <c r="N769" s="62"/>
      <c r="O769" s="62"/>
      <c r="P769" s="62"/>
    </row>
    <row r="770" spans="14:16" ht="15.75" customHeight="1" x14ac:dyDescent="0.2">
      <c r="N770" s="62"/>
      <c r="O770" s="62"/>
      <c r="P770" s="62"/>
    </row>
    <row r="771" spans="14:16" ht="15.75" customHeight="1" x14ac:dyDescent="0.2">
      <c r="N771" s="62"/>
      <c r="O771" s="62"/>
      <c r="P771" s="62"/>
    </row>
    <row r="772" spans="14:16" ht="15.75" customHeight="1" x14ac:dyDescent="0.2">
      <c r="N772" s="62"/>
      <c r="O772" s="62"/>
      <c r="P772" s="62"/>
    </row>
    <row r="773" spans="14:16" ht="15.75" customHeight="1" x14ac:dyDescent="0.2">
      <c r="N773" s="62"/>
      <c r="O773" s="62"/>
      <c r="P773" s="62"/>
    </row>
    <row r="774" spans="14:16" ht="15.75" customHeight="1" x14ac:dyDescent="0.2">
      <c r="N774" s="62"/>
      <c r="O774" s="62"/>
      <c r="P774" s="62"/>
    </row>
    <row r="775" spans="14:16" ht="15.75" customHeight="1" x14ac:dyDescent="0.2">
      <c r="N775" s="62"/>
      <c r="O775" s="62"/>
      <c r="P775" s="62"/>
    </row>
    <row r="776" spans="14:16" ht="15.75" customHeight="1" x14ac:dyDescent="0.2">
      <c r="N776" s="62"/>
      <c r="O776" s="62"/>
      <c r="P776" s="62"/>
    </row>
    <row r="777" spans="14:16" ht="15.75" customHeight="1" x14ac:dyDescent="0.2">
      <c r="N777" s="62"/>
      <c r="O777" s="62"/>
      <c r="P777" s="62"/>
    </row>
    <row r="778" spans="14:16" ht="15.75" customHeight="1" x14ac:dyDescent="0.2">
      <c r="N778" s="62"/>
      <c r="O778" s="62"/>
      <c r="P778" s="62"/>
    </row>
    <row r="779" spans="14:16" ht="15.75" customHeight="1" x14ac:dyDescent="0.2">
      <c r="N779" s="62"/>
      <c r="O779" s="62"/>
      <c r="P779" s="62"/>
    </row>
    <row r="780" spans="14:16" ht="15.75" customHeight="1" x14ac:dyDescent="0.2">
      <c r="N780" s="62"/>
      <c r="O780" s="62"/>
      <c r="P780" s="62"/>
    </row>
    <row r="781" spans="14:16" ht="15.75" customHeight="1" x14ac:dyDescent="0.2">
      <c r="N781" s="62"/>
      <c r="O781" s="62"/>
      <c r="P781" s="62"/>
    </row>
    <row r="782" spans="14:16" ht="15.75" customHeight="1" x14ac:dyDescent="0.2">
      <c r="N782" s="62"/>
      <c r="O782" s="62"/>
      <c r="P782" s="62"/>
    </row>
    <row r="783" spans="14:16" ht="15.75" customHeight="1" x14ac:dyDescent="0.2">
      <c r="N783" s="62"/>
      <c r="O783" s="62"/>
      <c r="P783" s="62"/>
    </row>
    <row r="784" spans="14:16" ht="15.75" customHeight="1" x14ac:dyDescent="0.2">
      <c r="N784" s="62"/>
      <c r="O784" s="62"/>
      <c r="P784" s="62"/>
    </row>
    <row r="785" spans="14:16" ht="15.75" customHeight="1" x14ac:dyDescent="0.2">
      <c r="N785" s="62"/>
      <c r="O785" s="62"/>
      <c r="P785" s="62"/>
    </row>
    <row r="786" spans="14:16" ht="15.75" customHeight="1" x14ac:dyDescent="0.2">
      <c r="N786" s="62"/>
      <c r="O786" s="62"/>
      <c r="P786" s="62"/>
    </row>
    <row r="787" spans="14:16" ht="15.75" customHeight="1" x14ac:dyDescent="0.2">
      <c r="N787" s="62"/>
      <c r="O787" s="62"/>
      <c r="P787" s="62"/>
    </row>
    <row r="788" spans="14:16" ht="15.75" customHeight="1" x14ac:dyDescent="0.2">
      <c r="N788" s="62"/>
      <c r="O788" s="62"/>
      <c r="P788" s="62"/>
    </row>
    <row r="789" spans="14:16" ht="15.75" customHeight="1" x14ac:dyDescent="0.2">
      <c r="N789" s="62"/>
      <c r="O789" s="62"/>
      <c r="P789" s="62"/>
    </row>
    <row r="790" spans="14:16" ht="15.75" customHeight="1" x14ac:dyDescent="0.2">
      <c r="N790" s="62"/>
      <c r="O790" s="62"/>
      <c r="P790" s="62"/>
    </row>
    <row r="791" spans="14:16" ht="15.75" customHeight="1" x14ac:dyDescent="0.2">
      <c r="N791" s="62"/>
      <c r="O791" s="62"/>
      <c r="P791" s="62"/>
    </row>
    <row r="792" spans="14:16" ht="15.75" customHeight="1" x14ac:dyDescent="0.2">
      <c r="N792" s="62"/>
      <c r="O792" s="62"/>
      <c r="P792" s="62"/>
    </row>
    <row r="793" spans="14:16" ht="15.75" customHeight="1" x14ac:dyDescent="0.2">
      <c r="N793" s="62"/>
      <c r="O793" s="62"/>
      <c r="P793" s="62"/>
    </row>
    <row r="794" spans="14:16" ht="15.75" customHeight="1" x14ac:dyDescent="0.2">
      <c r="N794" s="62"/>
      <c r="O794" s="62"/>
      <c r="P794" s="62"/>
    </row>
    <row r="795" spans="14:16" ht="15.75" customHeight="1" x14ac:dyDescent="0.2">
      <c r="N795" s="62"/>
      <c r="O795" s="62"/>
      <c r="P795" s="62"/>
    </row>
    <row r="796" spans="14:16" ht="15.75" customHeight="1" x14ac:dyDescent="0.2">
      <c r="N796" s="62"/>
      <c r="O796" s="62"/>
      <c r="P796" s="62"/>
    </row>
    <row r="797" spans="14:16" ht="15.75" customHeight="1" x14ac:dyDescent="0.2">
      <c r="N797" s="62"/>
      <c r="O797" s="62"/>
      <c r="P797" s="62"/>
    </row>
    <row r="798" spans="14:16" ht="15.75" customHeight="1" x14ac:dyDescent="0.2">
      <c r="N798" s="62"/>
      <c r="O798" s="62"/>
      <c r="P798" s="62"/>
    </row>
    <row r="799" spans="14:16" ht="15.75" customHeight="1" x14ac:dyDescent="0.2">
      <c r="N799" s="62"/>
      <c r="O799" s="62"/>
      <c r="P799" s="62"/>
    </row>
    <row r="800" spans="14:16" ht="15.75" customHeight="1" x14ac:dyDescent="0.2">
      <c r="N800" s="62"/>
      <c r="O800" s="62"/>
      <c r="P800" s="62"/>
    </row>
    <row r="801" spans="14:16" ht="15.75" customHeight="1" x14ac:dyDescent="0.2">
      <c r="N801" s="62"/>
      <c r="O801" s="62"/>
      <c r="P801" s="62"/>
    </row>
    <row r="802" spans="14:16" ht="15.75" customHeight="1" x14ac:dyDescent="0.2">
      <c r="N802" s="62"/>
      <c r="O802" s="62"/>
      <c r="P802" s="62"/>
    </row>
    <row r="803" spans="14:16" ht="15.75" customHeight="1" x14ac:dyDescent="0.2">
      <c r="N803" s="62"/>
      <c r="O803" s="62"/>
      <c r="P803" s="62"/>
    </row>
    <row r="804" spans="14:16" ht="15.75" customHeight="1" x14ac:dyDescent="0.2">
      <c r="N804" s="62"/>
      <c r="O804" s="62"/>
      <c r="P804" s="62"/>
    </row>
    <row r="805" spans="14:16" ht="15.75" customHeight="1" x14ac:dyDescent="0.2">
      <c r="N805" s="62"/>
      <c r="O805" s="62"/>
      <c r="P805" s="62"/>
    </row>
    <row r="806" spans="14:16" ht="15.75" customHeight="1" x14ac:dyDescent="0.2">
      <c r="N806" s="62"/>
      <c r="O806" s="62"/>
      <c r="P806" s="62"/>
    </row>
    <row r="807" spans="14:16" ht="15.75" customHeight="1" x14ac:dyDescent="0.2">
      <c r="N807" s="62"/>
      <c r="O807" s="62"/>
      <c r="P807" s="62"/>
    </row>
    <row r="808" spans="14:16" ht="15.75" customHeight="1" x14ac:dyDescent="0.2">
      <c r="N808" s="62"/>
      <c r="O808" s="62"/>
      <c r="P808" s="62"/>
    </row>
    <row r="809" spans="14:16" ht="15.75" customHeight="1" x14ac:dyDescent="0.2">
      <c r="N809" s="62"/>
      <c r="O809" s="62"/>
      <c r="P809" s="62"/>
    </row>
    <row r="810" spans="14:16" ht="15.75" customHeight="1" x14ac:dyDescent="0.2">
      <c r="N810" s="62"/>
      <c r="O810" s="62"/>
      <c r="P810" s="62"/>
    </row>
    <row r="811" spans="14:16" ht="15.75" customHeight="1" x14ac:dyDescent="0.2">
      <c r="N811" s="62"/>
      <c r="O811" s="62"/>
      <c r="P811" s="62"/>
    </row>
    <row r="812" spans="14:16" ht="15.75" customHeight="1" x14ac:dyDescent="0.2">
      <c r="N812" s="62"/>
      <c r="O812" s="62"/>
      <c r="P812" s="62"/>
    </row>
    <row r="813" spans="14:16" ht="15.75" customHeight="1" x14ac:dyDescent="0.2">
      <c r="N813" s="62"/>
      <c r="O813" s="62"/>
      <c r="P813" s="62"/>
    </row>
    <row r="814" spans="14:16" ht="15.75" customHeight="1" x14ac:dyDescent="0.2">
      <c r="N814" s="62"/>
      <c r="O814" s="62"/>
      <c r="P814" s="62"/>
    </row>
    <row r="815" spans="14:16" ht="15.75" customHeight="1" x14ac:dyDescent="0.2">
      <c r="N815" s="62"/>
      <c r="O815" s="62"/>
      <c r="P815" s="62"/>
    </row>
    <row r="816" spans="14:16" ht="15.75" customHeight="1" x14ac:dyDescent="0.2">
      <c r="N816" s="62"/>
      <c r="O816" s="62"/>
      <c r="P816" s="62"/>
    </row>
    <row r="817" spans="14:16" ht="15.75" customHeight="1" x14ac:dyDescent="0.2">
      <c r="N817" s="62"/>
      <c r="O817" s="62"/>
      <c r="P817" s="62"/>
    </row>
    <row r="818" spans="14:16" ht="15.75" customHeight="1" x14ac:dyDescent="0.2">
      <c r="N818" s="62"/>
      <c r="O818" s="62"/>
      <c r="P818" s="62"/>
    </row>
    <row r="819" spans="14:16" ht="15.75" customHeight="1" x14ac:dyDescent="0.2">
      <c r="N819" s="62"/>
      <c r="O819" s="62"/>
      <c r="P819" s="62"/>
    </row>
    <row r="820" spans="14:16" ht="15.75" customHeight="1" x14ac:dyDescent="0.2">
      <c r="N820" s="62"/>
      <c r="O820" s="62"/>
      <c r="P820" s="62"/>
    </row>
    <row r="821" spans="14:16" ht="15.75" customHeight="1" x14ac:dyDescent="0.2">
      <c r="N821" s="62"/>
      <c r="O821" s="62"/>
      <c r="P821" s="62"/>
    </row>
    <row r="822" spans="14:16" ht="15.75" customHeight="1" x14ac:dyDescent="0.2">
      <c r="N822" s="62"/>
      <c r="O822" s="62"/>
      <c r="P822" s="62"/>
    </row>
    <row r="823" spans="14:16" ht="15.75" customHeight="1" x14ac:dyDescent="0.2">
      <c r="N823" s="62"/>
      <c r="O823" s="62"/>
      <c r="P823" s="62"/>
    </row>
    <row r="824" spans="14:16" ht="15.75" customHeight="1" x14ac:dyDescent="0.2">
      <c r="N824" s="62"/>
      <c r="O824" s="62"/>
      <c r="P824" s="62"/>
    </row>
    <row r="825" spans="14:16" ht="15.75" customHeight="1" x14ac:dyDescent="0.2">
      <c r="N825" s="62"/>
      <c r="O825" s="62"/>
      <c r="P825" s="62"/>
    </row>
    <row r="826" spans="14:16" ht="15.75" customHeight="1" x14ac:dyDescent="0.2">
      <c r="N826" s="62"/>
      <c r="O826" s="62"/>
      <c r="P826" s="62"/>
    </row>
    <row r="827" spans="14:16" ht="15.75" customHeight="1" x14ac:dyDescent="0.2">
      <c r="N827" s="62"/>
      <c r="O827" s="62"/>
      <c r="P827" s="62"/>
    </row>
    <row r="828" spans="14:16" ht="15.75" customHeight="1" x14ac:dyDescent="0.2">
      <c r="N828" s="62"/>
      <c r="O828" s="62"/>
      <c r="P828" s="62"/>
    </row>
    <row r="829" spans="14:16" ht="15.75" customHeight="1" x14ac:dyDescent="0.2">
      <c r="N829" s="62"/>
      <c r="O829" s="62"/>
      <c r="P829" s="62"/>
    </row>
    <row r="830" spans="14:16" ht="15.75" customHeight="1" x14ac:dyDescent="0.2">
      <c r="N830" s="62"/>
      <c r="O830" s="62"/>
      <c r="P830" s="62"/>
    </row>
    <row r="831" spans="14:16" ht="15.75" customHeight="1" x14ac:dyDescent="0.2">
      <c r="N831" s="62"/>
      <c r="O831" s="62"/>
      <c r="P831" s="62"/>
    </row>
    <row r="832" spans="14:16" ht="15.75" customHeight="1" x14ac:dyDescent="0.2">
      <c r="N832" s="62"/>
      <c r="O832" s="62"/>
      <c r="P832" s="62"/>
    </row>
    <row r="833" spans="14:16" ht="15.75" customHeight="1" x14ac:dyDescent="0.2">
      <c r="N833" s="62"/>
      <c r="O833" s="62"/>
      <c r="P833" s="62"/>
    </row>
    <row r="834" spans="14:16" ht="15.75" customHeight="1" x14ac:dyDescent="0.2">
      <c r="N834" s="62"/>
      <c r="O834" s="62"/>
      <c r="P834" s="62"/>
    </row>
    <row r="835" spans="14:16" ht="15.75" customHeight="1" x14ac:dyDescent="0.2">
      <c r="N835" s="62"/>
      <c r="O835" s="62"/>
      <c r="P835" s="62"/>
    </row>
    <row r="836" spans="14:16" ht="15.75" customHeight="1" x14ac:dyDescent="0.2">
      <c r="N836" s="62"/>
      <c r="O836" s="62"/>
      <c r="P836" s="62"/>
    </row>
    <row r="837" spans="14:16" ht="15.75" customHeight="1" x14ac:dyDescent="0.2">
      <c r="N837" s="62"/>
      <c r="O837" s="62"/>
      <c r="P837" s="62"/>
    </row>
    <row r="838" spans="14:16" ht="15.75" customHeight="1" x14ac:dyDescent="0.2">
      <c r="N838" s="62"/>
      <c r="O838" s="62"/>
      <c r="P838" s="62"/>
    </row>
    <row r="839" spans="14:16" ht="15.75" customHeight="1" x14ac:dyDescent="0.2">
      <c r="N839" s="62"/>
      <c r="O839" s="62"/>
      <c r="P839" s="62"/>
    </row>
    <row r="840" spans="14:16" ht="15.75" customHeight="1" x14ac:dyDescent="0.2">
      <c r="N840" s="62"/>
      <c r="O840" s="62"/>
      <c r="P840" s="62"/>
    </row>
    <row r="841" spans="14:16" ht="15.75" customHeight="1" x14ac:dyDescent="0.2">
      <c r="N841" s="62"/>
      <c r="O841" s="62"/>
      <c r="P841" s="62"/>
    </row>
    <row r="842" spans="14:16" ht="15.75" customHeight="1" x14ac:dyDescent="0.2">
      <c r="N842" s="62"/>
      <c r="O842" s="62"/>
      <c r="P842" s="62"/>
    </row>
    <row r="843" spans="14:16" ht="15.75" customHeight="1" x14ac:dyDescent="0.2">
      <c r="N843" s="62"/>
      <c r="O843" s="62"/>
      <c r="P843" s="62"/>
    </row>
    <row r="844" spans="14:16" ht="15.75" customHeight="1" x14ac:dyDescent="0.2">
      <c r="N844" s="62"/>
      <c r="O844" s="62"/>
      <c r="P844" s="62"/>
    </row>
    <row r="845" spans="14:16" ht="15.75" customHeight="1" x14ac:dyDescent="0.2">
      <c r="N845" s="62"/>
      <c r="O845" s="62"/>
      <c r="P845" s="62"/>
    </row>
    <row r="846" spans="14:16" ht="15.75" customHeight="1" x14ac:dyDescent="0.2">
      <c r="N846" s="62"/>
      <c r="O846" s="62"/>
      <c r="P846" s="62"/>
    </row>
    <row r="847" spans="14:16" ht="15.75" customHeight="1" x14ac:dyDescent="0.2">
      <c r="N847" s="62"/>
      <c r="O847" s="62"/>
      <c r="P847" s="62"/>
    </row>
    <row r="848" spans="14:16" ht="15.75" customHeight="1" x14ac:dyDescent="0.2">
      <c r="N848" s="62"/>
      <c r="O848" s="62"/>
      <c r="P848" s="62"/>
    </row>
    <row r="849" spans="14:16" ht="15.75" customHeight="1" x14ac:dyDescent="0.2">
      <c r="N849" s="62"/>
      <c r="O849" s="62"/>
      <c r="P849" s="62"/>
    </row>
    <row r="850" spans="14:16" ht="15.75" customHeight="1" x14ac:dyDescent="0.2">
      <c r="N850" s="62"/>
      <c r="O850" s="62"/>
      <c r="P850" s="62"/>
    </row>
    <row r="851" spans="14:16" ht="15.75" customHeight="1" x14ac:dyDescent="0.2">
      <c r="N851" s="62"/>
      <c r="O851" s="62"/>
      <c r="P851" s="62"/>
    </row>
    <row r="852" spans="14:16" ht="15.75" customHeight="1" x14ac:dyDescent="0.2">
      <c r="N852" s="62"/>
      <c r="O852" s="62"/>
      <c r="P852" s="62"/>
    </row>
    <row r="853" spans="14:16" ht="15.75" customHeight="1" x14ac:dyDescent="0.2">
      <c r="N853" s="62"/>
      <c r="O853" s="62"/>
      <c r="P853" s="62"/>
    </row>
    <row r="854" spans="14:16" ht="15.75" customHeight="1" x14ac:dyDescent="0.2">
      <c r="N854" s="62"/>
      <c r="O854" s="62"/>
      <c r="P854" s="62"/>
    </row>
    <row r="855" spans="14:16" ht="15.75" customHeight="1" x14ac:dyDescent="0.2">
      <c r="N855" s="62"/>
      <c r="O855" s="62"/>
      <c r="P855" s="62"/>
    </row>
    <row r="856" spans="14:16" ht="15.75" customHeight="1" x14ac:dyDescent="0.2">
      <c r="N856" s="62"/>
      <c r="O856" s="62"/>
      <c r="P856" s="62"/>
    </row>
    <row r="857" spans="14:16" ht="15.75" customHeight="1" x14ac:dyDescent="0.2">
      <c r="N857" s="62"/>
      <c r="O857" s="62"/>
      <c r="P857" s="62"/>
    </row>
    <row r="858" spans="14:16" ht="15.75" customHeight="1" x14ac:dyDescent="0.2">
      <c r="N858" s="62"/>
      <c r="O858" s="62"/>
      <c r="P858" s="62"/>
    </row>
    <row r="859" spans="14:16" ht="15.75" customHeight="1" x14ac:dyDescent="0.2">
      <c r="N859" s="62"/>
      <c r="O859" s="62"/>
      <c r="P859" s="62"/>
    </row>
    <row r="860" spans="14:16" ht="15.75" customHeight="1" x14ac:dyDescent="0.2">
      <c r="N860" s="62"/>
      <c r="O860" s="62"/>
      <c r="P860" s="62"/>
    </row>
    <row r="861" spans="14:16" ht="15.75" customHeight="1" x14ac:dyDescent="0.2">
      <c r="N861" s="62"/>
      <c r="O861" s="62"/>
      <c r="P861" s="62"/>
    </row>
    <row r="862" spans="14:16" ht="15.75" customHeight="1" x14ac:dyDescent="0.2">
      <c r="N862" s="62"/>
      <c r="O862" s="62"/>
      <c r="P862" s="62"/>
    </row>
    <row r="863" spans="14:16" ht="15.75" customHeight="1" x14ac:dyDescent="0.2">
      <c r="N863" s="62"/>
      <c r="O863" s="62"/>
      <c r="P863" s="62"/>
    </row>
    <row r="864" spans="14:16" ht="15.75" customHeight="1" x14ac:dyDescent="0.2">
      <c r="N864" s="62"/>
      <c r="O864" s="62"/>
      <c r="P864" s="62"/>
    </row>
    <row r="865" spans="14:16" ht="15.75" customHeight="1" x14ac:dyDescent="0.2">
      <c r="N865" s="62"/>
      <c r="O865" s="62"/>
      <c r="P865" s="62"/>
    </row>
    <row r="866" spans="14:16" ht="15.75" customHeight="1" x14ac:dyDescent="0.2">
      <c r="N866" s="62"/>
      <c r="O866" s="62"/>
      <c r="P866" s="62"/>
    </row>
    <row r="867" spans="14:16" ht="15.75" customHeight="1" x14ac:dyDescent="0.2">
      <c r="N867" s="62"/>
      <c r="O867" s="62"/>
      <c r="P867" s="62"/>
    </row>
    <row r="868" spans="14:16" ht="15.75" customHeight="1" x14ac:dyDescent="0.2">
      <c r="N868" s="62"/>
      <c r="O868" s="62"/>
      <c r="P868" s="62"/>
    </row>
    <row r="869" spans="14:16" ht="15.75" customHeight="1" x14ac:dyDescent="0.2">
      <c r="N869" s="62"/>
      <c r="O869" s="62"/>
      <c r="P869" s="62"/>
    </row>
    <row r="870" spans="14:16" ht="15.75" customHeight="1" x14ac:dyDescent="0.2">
      <c r="N870" s="62"/>
      <c r="O870" s="62"/>
      <c r="P870" s="62"/>
    </row>
    <row r="871" spans="14:16" ht="15.75" customHeight="1" x14ac:dyDescent="0.2">
      <c r="N871" s="62"/>
      <c r="O871" s="62"/>
      <c r="P871" s="62"/>
    </row>
    <row r="872" spans="14:16" ht="15.75" customHeight="1" x14ac:dyDescent="0.2">
      <c r="N872" s="62"/>
      <c r="O872" s="62"/>
      <c r="P872" s="62"/>
    </row>
    <row r="873" spans="14:16" ht="15.75" customHeight="1" x14ac:dyDescent="0.2">
      <c r="N873" s="62"/>
      <c r="O873" s="62"/>
      <c r="P873" s="62"/>
    </row>
    <row r="874" spans="14:16" ht="15.75" customHeight="1" x14ac:dyDescent="0.2">
      <c r="N874" s="62"/>
      <c r="O874" s="62"/>
      <c r="P874" s="62"/>
    </row>
    <row r="875" spans="14:16" ht="15.75" customHeight="1" x14ac:dyDescent="0.2">
      <c r="N875" s="62"/>
      <c r="O875" s="62"/>
      <c r="P875" s="62"/>
    </row>
    <row r="876" spans="14:16" ht="15.75" customHeight="1" x14ac:dyDescent="0.2">
      <c r="N876" s="62"/>
      <c r="O876" s="62"/>
      <c r="P876" s="62"/>
    </row>
    <row r="877" spans="14:16" ht="15.75" customHeight="1" x14ac:dyDescent="0.2">
      <c r="N877" s="62"/>
      <c r="O877" s="62"/>
      <c r="P877" s="62"/>
    </row>
    <row r="878" spans="14:16" ht="15.75" customHeight="1" x14ac:dyDescent="0.2">
      <c r="N878" s="62"/>
      <c r="O878" s="62"/>
      <c r="P878" s="62"/>
    </row>
    <row r="879" spans="14:16" ht="15.75" customHeight="1" x14ac:dyDescent="0.2">
      <c r="N879" s="62"/>
      <c r="O879" s="62"/>
      <c r="P879" s="62"/>
    </row>
    <row r="880" spans="14:16" ht="15.75" customHeight="1" x14ac:dyDescent="0.2">
      <c r="N880" s="62"/>
      <c r="O880" s="62"/>
      <c r="P880" s="62"/>
    </row>
    <row r="881" spans="14:16" ht="15.75" customHeight="1" x14ac:dyDescent="0.2">
      <c r="N881" s="62"/>
      <c r="O881" s="62"/>
      <c r="P881" s="62"/>
    </row>
    <row r="882" spans="14:16" ht="15.75" customHeight="1" x14ac:dyDescent="0.2">
      <c r="N882" s="62"/>
      <c r="O882" s="62"/>
      <c r="P882" s="62"/>
    </row>
    <row r="883" spans="14:16" ht="15.75" customHeight="1" x14ac:dyDescent="0.2">
      <c r="N883" s="62"/>
      <c r="O883" s="62"/>
      <c r="P883" s="62"/>
    </row>
    <row r="884" spans="14:16" ht="15.75" customHeight="1" x14ac:dyDescent="0.2">
      <c r="N884" s="62"/>
      <c r="O884" s="62"/>
      <c r="P884" s="62"/>
    </row>
    <row r="885" spans="14:16" ht="15.75" customHeight="1" x14ac:dyDescent="0.2">
      <c r="N885" s="62"/>
      <c r="O885" s="62"/>
      <c r="P885" s="62"/>
    </row>
    <row r="886" spans="14:16" ht="15.75" customHeight="1" x14ac:dyDescent="0.2">
      <c r="N886" s="62"/>
      <c r="O886" s="62"/>
      <c r="P886" s="62"/>
    </row>
    <row r="887" spans="14:16" ht="15.75" customHeight="1" x14ac:dyDescent="0.2">
      <c r="N887" s="62"/>
      <c r="O887" s="62"/>
      <c r="P887" s="62"/>
    </row>
    <row r="888" spans="14:16" ht="15.75" customHeight="1" x14ac:dyDescent="0.2">
      <c r="N888" s="62"/>
      <c r="O888" s="62"/>
      <c r="P888" s="62"/>
    </row>
    <row r="889" spans="14:16" ht="15.75" customHeight="1" x14ac:dyDescent="0.2">
      <c r="N889" s="62"/>
      <c r="O889" s="62"/>
      <c r="P889" s="62"/>
    </row>
    <row r="890" spans="14:16" ht="15.75" customHeight="1" x14ac:dyDescent="0.2">
      <c r="N890" s="62"/>
      <c r="O890" s="62"/>
      <c r="P890" s="62"/>
    </row>
    <row r="891" spans="14:16" ht="15.75" customHeight="1" x14ac:dyDescent="0.2">
      <c r="N891" s="62"/>
      <c r="O891" s="62"/>
      <c r="P891" s="62"/>
    </row>
    <row r="892" spans="14:16" ht="15.75" customHeight="1" x14ac:dyDescent="0.2">
      <c r="N892" s="62"/>
      <c r="O892" s="62"/>
      <c r="P892" s="62"/>
    </row>
    <row r="893" spans="14:16" ht="15.75" customHeight="1" x14ac:dyDescent="0.2">
      <c r="N893" s="62"/>
      <c r="O893" s="62"/>
      <c r="P893" s="62"/>
    </row>
    <row r="894" spans="14:16" ht="15.75" customHeight="1" x14ac:dyDescent="0.2">
      <c r="N894" s="62"/>
      <c r="O894" s="62"/>
      <c r="P894" s="62"/>
    </row>
    <row r="895" spans="14:16" ht="15.75" customHeight="1" x14ac:dyDescent="0.2">
      <c r="N895" s="62"/>
      <c r="O895" s="62"/>
      <c r="P895" s="62"/>
    </row>
    <row r="896" spans="14:16" ht="15.75" customHeight="1" x14ac:dyDescent="0.2">
      <c r="N896" s="62"/>
      <c r="O896" s="62"/>
      <c r="P896" s="62"/>
    </row>
    <row r="897" spans="14:16" ht="15.75" customHeight="1" x14ac:dyDescent="0.2">
      <c r="N897" s="62"/>
      <c r="O897" s="62"/>
      <c r="P897" s="62"/>
    </row>
    <row r="898" spans="14:16" ht="15.75" customHeight="1" x14ac:dyDescent="0.2">
      <c r="N898" s="62"/>
      <c r="O898" s="62"/>
      <c r="P898" s="62"/>
    </row>
    <row r="899" spans="14:16" ht="15.75" customHeight="1" x14ac:dyDescent="0.2">
      <c r="N899" s="62"/>
      <c r="O899" s="62"/>
      <c r="P899" s="62"/>
    </row>
    <row r="900" spans="14:16" ht="15.75" customHeight="1" x14ac:dyDescent="0.2">
      <c r="N900" s="62"/>
      <c r="O900" s="62"/>
      <c r="P900" s="62"/>
    </row>
    <row r="901" spans="14:16" ht="15.75" customHeight="1" x14ac:dyDescent="0.2">
      <c r="N901" s="62"/>
      <c r="O901" s="62"/>
      <c r="P901" s="62"/>
    </row>
    <row r="902" spans="14:16" ht="15.75" customHeight="1" x14ac:dyDescent="0.2">
      <c r="N902" s="62"/>
      <c r="O902" s="62"/>
      <c r="P902" s="62"/>
    </row>
    <row r="903" spans="14:16" ht="15.75" customHeight="1" x14ac:dyDescent="0.2">
      <c r="N903" s="62"/>
      <c r="O903" s="62"/>
      <c r="P903" s="62"/>
    </row>
    <row r="904" spans="14:16" ht="15.75" customHeight="1" x14ac:dyDescent="0.2">
      <c r="N904" s="62"/>
      <c r="O904" s="62"/>
      <c r="P904" s="62"/>
    </row>
    <row r="905" spans="14:16" ht="15.75" customHeight="1" x14ac:dyDescent="0.2">
      <c r="N905" s="62"/>
      <c r="O905" s="62"/>
      <c r="P905" s="62"/>
    </row>
    <row r="906" spans="14:16" ht="15.75" customHeight="1" x14ac:dyDescent="0.2">
      <c r="N906" s="62"/>
      <c r="O906" s="62"/>
      <c r="P906" s="62"/>
    </row>
    <row r="907" spans="14:16" ht="15.75" customHeight="1" x14ac:dyDescent="0.2">
      <c r="N907" s="62"/>
      <c r="O907" s="62"/>
      <c r="P907" s="62"/>
    </row>
    <row r="908" spans="14:16" ht="15.75" customHeight="1" x14ac:dyDescent="0.2">
      <c r="N908" s="62"/>
      <c r="O908" s="62"/>
      <c r="P908" s="62"/>
    </row>
    <row r="909" spans="14:16" ht="15.75" customHeight="1" x14ac:dyDescent="0.2">
      <c r="N909" s="62"/>
      <c r="O909" s="62"/>
      <c r="P909" s="62"/>
    </row>
    <row r="910" spans="14:16" ht="15.75" customHeight="1" x14ac:dyDescent="0.2">
      <c r="N910" s="62"/>
      <c r="O910" s="62"/>
      <c r="P910" s="62"/>
    </row>
    <row r="911" spans="14:16" ht="15.75" customHeight="1" x14ac:dyDescent="0.2">
      <c r="N911" s="62"/>
      <c r="O911" s="62"/>
      <c r="P911" s="62"/>
    </row>
    <row r="912" spans="14:16" ht="15.75" customHeight="1" x14ac:dyDescent="0.2">
      <c r="N912" s="62"/>
      <c r="O912" s="62"/>
      <c r="P912" s="62"/>
    </row>
    <row r="913" spans="14:16" ht="15.75" customHeight="1" x14ac:dyDescent="0.2">
      <c r="N913" s="62"/>
      <c r="O913" s="62"/>
      <c r="P913" s="62"/>
    </row>
    <row r="914" spans="14:16" ht="15.75" customHeight="1" x14ac:dyDescent="0.2">
      <c r="N914" s="62"/>
      <c r="O914" s="62"/>
      <c r="P914" s="62"/>
    </row>
    <row r="915" spans="14:16" ht="15.75" customHeight="1" x14ac:dyDescent="0.2">
      <c r="N915" s="62"/>
      <c r="O915" s="62"/>
      <c r="P915" s="62"/>
    </row>
    <row r="916" spans="14:16" ht="15.75" customHeight="1" x14ac:dyDescent="0.2">
      <c r="N916" s="62"/>
      <c r="O916" s="62"/>
      <c r="P916" s="62"/>
    </row>
    <row r="917" spans="14:16" ht="15.75" customHeight="1" x14ac:dyDescent="0.2">
      <c r="N917" s="62"/>
      <c r="O917" s="62"/>
      <c r="P917" s="62"/>
    </row>
    <row r="918" spans="14:16" ht="15.75" customHeight="1" x14ac:dyDescent="0.2">
      <c r="N918" s="62"/>
      <c r="O918" s="62"/>
      <c r="P918" s="62"/>
    </row>
    <row r="919" spans="14:16" ht="15.75" customHeight="1" x14ac:dyDescent="0.2">
      <c r="N919" s="62"/>
      <c r="O919" s="62"/>
      <c r="P919" s="62"/>
    </row>
    <row r="920" spans="14:16" ht="15.75" customHeight="1" x14ac:dyDescent="0.2">
      <c r="N920" s="62"/>
      <c r="O920" s="62"/>
      <c r="P920" s="62"/>
    </row>
    <row r="921" spans="14:16" ht="15.75" customHeight="1" x14ac:dyDescent="0.2">
      <c r="N921" s="62"/>
      <c r="O921" s="62"/>
      <c r="P921" s="62"/>
    </row>
    <row r="922" spans="14:16" ht="15.75" customHeight="1" x14ac:dyDescent="0.2">
      <c r="N922" s="62"/>
      <c r="O922" s="62"/>
      <c r="P922" s="62"/>
    </row>
    <row r="923" spans="14:16" ht="15.75" customHeight="1" x14ac:dyDescent="0.2">
      <c r="N923" s="62"/>
      <c r="O923" s="62"/>
      <c r="P923" s="62"/>
    </row>
    <row r="924" spans="14:16" ht="15.75" customHeight="1" x14ac:dyDescent="0.2">
      <c r="N924" s="62"/>
      <c r="O924" s="62"/>
      <c r="P924" s="62"/>
    </row>
    <row r="925" spans="14:16" ht="15.75" customHeight="1" x14ac:dyDescent="0.2">
      <c r="N925" s="62"/>
      <c r="O925" s="62"/>
      <c r="P925" s="62"/>
    </row>
    <row r="926" spans="14:16" ht="15.75" customHeight="1" x14ac:dyDescent="0.2">
      <c r="N926" s="62"/>
      <c r="O926" s="62"/>
      <c r="P926" s="62"/>
    </row>
    <row r="927" spans="14:16" ht="15.75" customHeight="1" x14ac:dyDescent="0.2">
      <c r="N927" s="62"/>
      <c r="O927" s="62"/>
      <c r="P927" s="62"/>
    </row>
    <row r="928" spans="14:16" ht="15.75" customHeight="1" x14ac:dyDescent="0.2">
      <c r="N928" s="62"/>
      <c r="O928" s="62"/>
      <c r="P928" s="62"/>
    </row>
    <row r="929" spans="14:16" ht="15.75" customHeight="1" x14ac:dyDescent="0.2">
      <c r="N929" s="62"/>
      <c r="O929" s="62"/>
      <c r="P929" s="62"/>
    </row>
    <row r="930" spans="14:16" ht="15.75" customHeight="1" x14ac:dyDescent="0.2">
      <c r="N930" s="62"/>
      <c r="O930" s="62"/>
      <c r="P930" s="62"/>
    </row>
    <row r="931" spans="14:16" ht="15.75" customHeight="1" x14ac:dyDescent="0.2">
      <c r="N931" s="62"/>
      <c r="O931" s="62"/>
      <c r="P931" s="62"/>
    </row>
    <row r="932" spans="14:16" ht="15.75" customHeight="1" x14ac:dyDescent="0.2">
      <c r="N932" s="62"/>
      <c r="O932" s="62"/>
      <c r="P932" s="62"/>
    </row>
    <row r="933" spans="14:16" ht="15.75" customHeight="1" x14ac:dyDescent="0.2">
      <c r="N933" s="62"/>
      <c r="O933" s="62"/>
      <c r="P933" s="62"/>
    </row>
    <row r="934" spans="14:16" ht="15.75" customHeight="1" x14ac:dyDescent="0.2">
      <c r="N934" s="62"/>
      <c r="O934" s="62"/>
      <c r="P934" s="62"/>
    </row>
    <row r="935" spans="14:16" ht="15.75" customHeight="1" x14ac:dyDescent="0.2">
      <c r="N935" s="62"/>
      <c r="O935" s="62"/>
      <c r="P935" s="62"/>
    </row>
    <row r="936" spans="14:16" ht="15.75" customHeight="1" x14ac:dyDescent="0.2">
      <c r="N936" s="62"/>
      <c r="O936" s="62"/>
      <c r="P936" s="62"/>
    </row>
    <row r="937" spans="14:16" ht="15.75" customHeight="1" x14ac:dyDescent="0.2">
      <c r="N937" s="62"/>
      <c r="O937" s="62"/>
      <c r="P937" s="62"/>
    </row>
    <row r="938" spans="14:16" ht="15.75" customHeight="1" x14ac:dyDescent="0.2">
      <c r="N938" s="62"/>
      <c r="O938" s="62"/>
      <c r="P938" s="62"/>
    </row>
    <row r="939" spans="14:16" ht="15.75" customHeight="1" x14ac:dyDescent="0.2">
      <c r="N939" s="62"/>
      <c r="O939" s="62"/>
      <c r="P939" s="62"/>
    </row>
    <row r="940" spans="14:16" ht="15.75" customHeight="1" x14ac:dyDescent="0.2">
      <c r="N940" s="62"/>
      <c r="O940" s="62"/>
      <c r="P940" s="62"/>
    </row>
    <row r="941" spans="14:16" ht="15.75" customHeight="1" x14ac:dyDescent="0.2">
      <c r="N941" s="62"/>
      <c r="O941" s="62"/>
      <c r="P941" s="62"/>
    </row>
    <row r="942" spans="14:16" ht="15.75" customHeight="1" x14ac:dyDescent="0.2">
      <c r="N942" s="62"/>
      <c r="O942" s="62"/>
      <c r="P942" s="62"/>
    </row>
    <row r="943" spans="14:16" ht="15.75" customHeight="1" x14ac:dyDescent="0.2">
      <c r="N943" s="62"/>
      <c r="O943" s="62"/>
      <c r="P943" s="62"/>
    </row>
    <row r="944" spans="14:16" ht="15.75" customHeight="1" x14ac:dyDescent="0.2">
      <c r="N944" s="62"/>
      <c r="O944" s="62"/>
      <c r="P944" s="62"/>
    </row>
    <row r="945" spans="14:16" ht="15.75" customHeight="1" x14ac:dyDescent="0.2">
      <c r="N945" s="62"/>
      <c r="O945" s="62"/>
      <c r="P945" s="62"/>
    </row>
    <row r="946" spans="14:16" ht="15.75" customHeight="1" x14ac:dyDescent="0.2">
      <c r="N946" s="62"/>
      <c r="O946" s="62"/>
      <c r="P946" s="62"/>
    </row>
    <row r="947" spans="14:16" ht="15.75" customHeight="1" x14ac:dyDescent="0.2">
      <c r="N947" s="62"/>
      <c r="O947" s="62"/>
      <c r="P947" s="62"/>
    </row>
    <row r="948" spans="14:16" ht="15.75" customHeight="1" x14ac:dyDescent="0.2">
      <c r="N948" s="62"/>
      <c r="O948" s="62"/>
      <c r="P948" s="62"/>
    </row>
    <row r="949" spans="14:16" ht="15.75" customHeight="1" x14ac:dyDescent="0.2">
      <c r="N949" s="62"/>
      <c r="O949" s="62"/>
      <c r="P949" s="62"/>
    </row>
    <row r="950" spans="14:16" ht="15.75" customHeight="1" x14ac:dyDescent="0.2">
      <c r="N950" s="62"/>
      <c r="O950" s="62"/>
      <c r="P950" s="62"/>
    </row>
    <row r="951" spans="14:16" ht="15.75" customHeight="1" x14ac:dyDescent="0.2">
      <c r="N951" s="62"/>
      <c r="O951" s="62"/>
      <c r="P951" s="62"/>
    </row>
    <row r="952" spans="14:16" ht="15.75" customHeight="1" x14ac:dyDescent="0.2">
      <c r="N952" s="62"/>
      <c r="O952" s="62"/>
      <c r="P952" s="62"/>
    </row>
    <row r="953" spans="14:16" ht="15.75" customHeight="1" x14ac:dyDescent="0.2">
      <c r="N953" s="62"/>
      <c r="O953" s="62"/>
      <c r="P953" s="62"/>
    </row>
    <row r="954" spans="14:16" ht="15.75" customHeight="1" x14ac:dyDescent="0.2">
      <c r="N954" s="62"/>
      <c r="O954" s="62"/>
      <c r="P954" s="62"/>
    </row>
    <row r="955" spans="14:16" ht="15.75" customHeight="1" x14ac:dyDescent="0.2">
      <c r="N955" s="62"/>
      <c r="O955" s="62"/>
      <c r="P955" s="62"/>
    </row>
    <row r="956" spans="14:16" ht="15.75" customHeight="1" x14ac:dyDescent="0.2">
      <c r="N956" s="62"/>
      <c r="O956" s="62"/>
      <c r="P956" s="62"/>
    </row>
    <row r="957" spans="14:16" ht="15.75" customHeight="1" x14ac:dyDescent="0.2">
      <c r="N957" s="62"/>
      <c r="O957" s="62"/>
      <c r="P957" s="62"/>
    </row>
    <row r="958" spans="14:16" ht="15.75" customHeight="1" x14ac:dyDescent="0.2">
      <c r="N958" s="62"/>
      <c r="O958" s="62"/>
      <c r="P958" s="62"/>
    </row>
    <row r="959" spans="14:16" ht="15.75" customHeight="1" x14ac:dyDescent="0.2">
      <c r="N959" s="62"/>
      <c r="O959" s="62"/>
      <c r="P959" s="62"/>
    </row>
    <row r="960" spans="14:16" ht="15.75" customHeight="1" x14ac:dyDescent="0.2">
      <c r="N960" s="62"/>
      <c r="O960" s="62"/>
      <c r="P960" s="62"/>
    </row>
    <row r="961" spans="14:16" ht="15.75" customHeight="1" x14ac:dyDescent="0.2">
      <c r="N961" s="62"/>
      <c r="O961" s="62"/>
      <c r="P961" s="62"/>
    </row>
    <row r="962" spans="14:16" ht="15.75" customHeight="1" x14ac:dyDescent="0.2">
      <c r="N962" s="62"/>
      <c r="O962" s="62"/>
      <c r="P962" s="62"/>
    </row>
    <row r="963" spans="14:16" ht="15.75" customHeight="1" x14ac:dyDescent="0.2">
      <c r="N963" s="62"/>
      <c r="O963" s="62"/>
      <c r="P963" s="62"/>
    </row>
    <row r="964" spans="14:16" ht="15.75" customHeight="1" x14ac:dyDescent="0.2">
      <c r="N964" s="62"/>
      <c r="O964" s="62"/>
      <c r="P964" s="62"/>
    </row>
    <row r="965" spans="14:16" ht="15.75" customHeight="1" x14ac:dyDescent="0.2">
      <c r="N965" s="62"/>
      <c r="O965" s="62"/>
      <c r="P965" s="62"/>
    </row>
    <row r="966" spans="14:16" ht="15.75" customHeight="1" x14ac:dyDescent="0.2">
      <c r="N966" s="62"/>
      <c r="O966" s="62"/>
      <c r="P966" s="62"/>
    </row>
    <row r="967" spans="14:16" ht="15.75" customHeight="1" x14ac:dyDescent="0.2">
      <c r="N967" s="62"/>
      <c r="O967" s="62"/>
      <c r="P967" s="62"/>
    </row>
    <row r="968" spans="14:16" ht="15.75" customHeight="1" x14ac:dyDescent="0.2">
      <c r="N968" s="62"/>
      <c r="O968" s="62"/>
      <c r="P968" s="62"/>
    </row>
    <row r="969" spans="14:16" ht="15.75" customHeight="1" x14ac:dyDescent="0.2">
      <c r="N969" s="62"/>
      <c r="O969" s="62"/>
      <c r="P969" s="62"/>
    </row>
    <row r="970" spans="14:16" ht="15.75" customHeight="1" x14ac:dyDescent="0.2">
      <c r="N970" s="62"/>
      <c r="O970" s="62"/>
      <c r="P970" s="62"/>
    </row>
    <row r="971" spans="14:16" ht="15.75" customHeight="1" x14ac:dyDescent="0.2">
      <c r="N971" s="62"/>
      <c r="O971" s="62"/>
      <c r="P971" s="62"/>
    </row>
    <row r="972" spans="14:16" ht="15.75" customHeight="1" x14ac:dyDescent="0.2">
      <c r="N972" s="62"/>
      <c r="O972" s="62"/>
      <c r="P972" s="62"/>
    </row>
    <row r="973" spans="14:16" ht="15.75" customHeight="1" x14ac:dyDescent="0.2">
      <c r="N973" s="62"/>
      <c r="O973" s="62"/>
      <c r="P973" s="62"/>
    </row>
    <row r="974" spans="14:16" ht="15.75" customHeight="1" x14ac:dyDescent="0.2">
      <c r="N974" s="62"/>
      <c r="O974" s="62"/>
      <c r="P974" s="62"/>
    </row>
    <row r="975" spans="14:16" ht="15.75" customHeight="1" x14ac:dyDescent="0.2">
      <c r="N975" s="62"/>
      <c r="O975" s="62"/>
      <c r="P975" s="62"/>
    </row>
    <row r="976" spans="14:16" ht="15.75" customHeight="1" x14ac:dyDescent="0.2">
      <c r="N976" s="62"/>
      <c r="O976" s="62"/>
      <c r="P976" s="62"/>
    </row>
    <row r="977" spans="14:16" ht="15.75" customHeight="1" x14ac:dyDescent="0.2">
      <c r="N977" s="62"/>
      <c r="O977" s="62"/>
      <c r="P977" s="62"/>
    </row>
    <row r="978" spans="14:16" ht="15.75" customHeight="1" x14ac:dyDescent="0.2">
      <c r="N978" s="62"/>
      <c r="O978" s="62"/>
      <c r="P978" s="62"/>
    </row>
    <row r="979" spans="14:16" ht="15.75" customHeight="1" x14ac:dyDescent="0.2">
      <c r="N979" s="62"/>
      <c r="O979" s="62"/>
      <c r="P979" s="62"/>
    </row>
    <row r="980" spans="14:16" ht="15.75" customHeight="1" x14ac:dyDescent="0.2">
      <c r="N980" s="62"/>
      <c r="O980" s="62"/>
      <c r="P980" s="62"/>
    </row>
    <row r="981" spans="14:16" ht="15.75" customHeight="1" x14ac:dyDescent="0.2">
      <c r="N981" s="62"/>
      <c r="O981" s="62"/>
      <c r="P981" s="62"/>
    </row>
    <row r="982" spans="14:16" ht="15.75" customHeight="1" x14ac:dyDescent="0.2">
      <c r="N982" s="62"/>
      <c r="O982" s="62"/>
      <c r="P982" s="62"/>
    </row>
    <row r="983" spans="14:16" ht="15.75" customHeight="1" x14ac:dyDescent="0.2">
      <c r="N983" s="62"/>
      <c r="O983" s="62"/>
      <c r="P983" s="62"/>
    </row>
    <row r="984" spans="14:16" ht="15.75" customHeight="1" x14ac:dyDescent="0.2">
      <c r="N984" s="62"/>
      <c r="O984" s="62"/>
      <c r="P984" s="62"/>
    </row>
    <row r="985" spans="14:16" ht="15.75" customHeight="1" x14ac:dyDescent="0.2">
      <c r="N985" s="62"/>
      <c r="O985" s="62"/>
      <c r="P985" s="62"/>
    </row>
    <row r="986" spans="14:16" ht="15.75" customHeight="1" x14ac:dyDescent="0.2">
      <c r="N986" s="62"/>
      <c r="O986" s="62"/>
      <c r="P986" s="62"/>
    </row>
    <row r="987" spans="14:16" ht="15.75" customHeight="1" x14ac:dyDescent="0.2">
      <c r="N987" s="62"/>
      <c r="O987" s="62"/>
      <c r="P987" s="62"/>
    </row>
    <row r="988" spans="14:16" ht="15.75" customHeight="1" x14ac:dyDescent="0.2">
      <c r="N988" s="62"/>
      <c r="O988" s="62"/>
      <c r="P988" s="62"/>
    </row>
    <row r="989" spans="14:16" ht="15.75" customHeight="1" x14ac:dyDescent="0.2">
      <c r="N989" s="62"/>
      <c r="O989" s="62"/>
      <c r="P989" s="62"/>
    </row>
    <row r="990" spans="14:16" ht="15.75" customHeight="1" x14ac:dyDescent="0.2">
      <c r="N990" s="62"/>
      <c r="O990" s="62"/>
      <c r="P990" s="62"/>
    </row>
    <row r="991" spans="14:16" ht="15.75" customHeight="1" x14ac:dyDescent="0.2">
      <c r="N991" s="62"/>
      <c r="O991" s="62"/>
      <c r="P991" s="62"/>
    </row>
    <row r="992" spans="14:16" ht="15.75" customHeight="1" x14ac:dyDescent="0.2">
      <c r="N992" s="62"/>
      <c r="O992" s="62"/>
      <c r="P992" s="62"/>
    </row>
    <row r="993" spans="14:16" ht="15.75" customHeight="1" x14ac:dyDescent="0.2">
      <c r="N993" s="62"/>
      <c r="O993" s="62"/>
      <c r="P993" s="62"/>
    </row>
    <row r="994" spans="14:16" ht="15.75" customHeight="1" x14ac:dyDescent="0.2">
      <c r="N994" s="62"/>
      <c r="O994" s="62"/>
      <c r="P994" s="62"/>
    </row>
    <row r="995" spans="14:16" ht="15.75" customHeight="1" x14ac:dyDescent="0.2">
      <c r="N995" s="62"/>
      <c r="O995" s="62"/>
      <c r="P995" s="62"/>
    </row>
    <row r="996" spans="14:16" ht="15.75" customHeight="1" x14ac:dyDescent="0.2">
      <c r="N996" s="62"/>
      <c r="O996" s="62"/>
      <c r="P996" s="62"/>
    </row>
    <row r="997" spans="14:16" ht="15.75" customHeight="1" x14ac:dyDescent="0.2">
      <c r="N997" s="62"/>
      <c r="O997" s="62"/>
      <c r="P997" s="62"/>
    </row>
    <row r="998" spans="14:16" ht="15.75" customHeight="1" x14ac:dyDescent="0.2">
      <c r="N998" s="62"/>
      <c r="O998" s="62"/>
      <c r="P998" s="62"/>
    </row>
    <row r="999" spans="14:16" ht="15.75" customHeight="1" x14ac:dyDescent="0.2">
      <c r="N999" s="62"/>
      <c r="O999" s="62"/>
      <c r="P999" s="62"/>
    </row>
    <row r="1000" spans="14:16" ht="15.75" customHeight="1" x14ac:dyDescent="0.2">
      <c r="N1000" s="62"/>
      <c r="O1000" s="62"/>
      <c r="P1000" s="62"/>
    </row>
    <row r="1001" spans="14:16" ht="15.75" customHeight="1" x14ac:dyDescent="0.2">
      <c r="N1001" s="62"/>
      <c r="O1001" s="62"/>
      <c r="P1001" s="62"/>
    </row>
  </sheetData>
  <mergeCells count="11">
    <mergeCell ref="B18:B19"/>
    <mergeCell ref="B20:B25"/>
    <mergeCell ref="I26:N26"/>
    <mergeCell ref="K27:N27"/>
    <mergeCell ref="K2:K4"/>
    <mergeCell ref="L2:L4"/>
    <mergeCell ref="M2:M4"/>
    <mergeCell ref="C5:C6"/>
    <mergeCell ref="D5:D6"/>
    <mergeCell ref="E5:E6"/>
    <mergeCell ref="B7:B16"/>
  </mergeCells>
  <conditionalFormatting sqref="C7:C2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D7:D25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E7:E25">
    <cfRule type="colorScale" priority="5">
      <colorScale>
        <cfvo type="min"/>
        <cfvo type="max"/>
        <color rgb="FFFFFFFF"/>
        <color rgb="FF57BB8A"/>
      </colorScale>
    </cfRule>
  </conditionalFormatting>
  <conditionalFormatting sqref="K7:M18 M19 K20:M25">
    <cfRule type="notContainsBlanks" dxfId="0" priority="6">
      <formula>LEN(TRIM(K7))&gt;0</formula>
    </cfRule>
  </conditionalFormatting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outlinePr summaryBelow="0" summaryRight="0"/>
  </sheetPr>
  <dimension ref="A1:Y997"/>
  <sheetViews>
    <sheetView showGridLines="0" workbookViewId="0">
      <selection activeCell="H5" sqref="H5"/>
    </sheetView>
  </sheetViews>
  <sheetFormatPr defaultColWidth="12.5703125" defaultRowHeight="15" customHeight="1" x14ac:dyDescent="0.2"/>
  <cols>
    <col min="1" max="1" width="12.5703125" customWidth="1"/>
    <col min="2" max="2" width="10.85546875" customWidth="1"/>
    <col min="3" max="3" width="13.42578125" customWidth="1"/>
    <col min="4" max="4" width="6.85546875" customWidth="1"/>
    <col min="5" max="5" width="9.7109375" customWidth="1"/>
    <col min="6" max="6" width="8.42578125" customWidth="1"/>
    <col min="7" max="7" width="5.85546875" customWidth="1"/>
    <col min="8" max="8" width="56.42578125" customWidth="1"/>
  </cols>
  <sheetData>
    <row r="1" spans="1:25" ht="15.75" customHeight="1" x14ac:dyDescent="0.2">
      <c r="A1" s="60"/>
      <c r="B1" s="60"/>
      <c r="C1" s="60"/>
      <c r="D1" s="60"/>
      <c r="E1" s="60"/>
      <c r="F1" s="60"/>
      <c r="G1" s="60"/>
      <c r="H1" s="3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ht="15.75" customHeight="1" x14ac:dyDescent="0.2">
      <c r="A2" s="60"/>
      <c r="B2" s="184"/>
      <c r="C2" s="184"/>
      <c r="D2" s="184"/>
      <c r="E2" s="184"/>
      <c r="F2" s="184"/>
      <c r="G2" s="185"/>
      <c r="H2" s="185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25" ht="15.75" customHeight="1" x14ac:dyDescent="0.2">
      <c r="A3" s="60"/>
      <c r="B3" s="186" t="s">
        <v>192</v>
      </c>
      <c r="C3" s="186"/>
      <c r="D3" s="186"/>
      <c r="E3" s="186"/>
      <c r="F3" s="186"/>
      <c r="G3" s="186"/>
      <c r="H3" s="185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1:25" ht="15.75" customHeight="1" x14ac:dyDescent="0.2">
      <c r="A4" s="60"/>
      <c r="B4" s="187"/>
      <c r="C4" s="187"/>
      <c r="D4" s="187"/>
      <c r="E4" s="187"/>
      <c r="F4" s="187"/>
      <c r="G4" s="188"/>
      <c r="H4" s="185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spans="1:25" ht="15.75" customHeight="1" x14ac:dyDescent="0.2">
      <c r="A5" s="60"/>
      <c r="B5" s="189" t="s">
        <v>193</v>
      </c>
      <c r="C5" s="189" t="s">
        <v>194</v>
      </c>
      <c r="D5" s="190" t="s">
        <v>195</v>
      </c>
      <c r="E5" s="191" t="s">
        <v>196</v>
      </c>
      <c r="F5" s="192" t="s">
        <v>8</v>
      </c>
      <c r="G5" s="192" t="s">
        <v>9</v>
      </c>
      <c r="H5" s="192" t="s">
        <v>197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spans="1:25" ht="15.75" customHeight="1" x14ac:dyDescent="0.2">
      <c r="A6" s="60"/>
      <c r="B6" s="85" t="s">
        <v>198</v>
      </c>
      <c r="C6" s="193" t="s">
        <v>199</v>
      </c>
      <c r="D6" s="81">
        <v>2026</v>
      </c>
      <c r="E6" s="81">
        <v>90</v>
      </c>
      <c r="F6" s="81">
        <f>90-26</f>
        <v>64</v>
      </c>
      <c r="G6" s="194">
        <f t="shared" ref="G6:G20" si="0">F6/E6</f>
        <v>0.71111111111111114</v>
      </c>
      <c r="H6" s="24" t="s">
        <v>200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spans="1:25" ht="15.75" customHeight="1" x14ac:dyDescent="0.2">
      <c r="A7" s="60"/>
      <c r="B7" s="195" t="s">
        <v>201</v>
      </c>
      <c r="C7" s="178" t="s">
        <v>202</v>
      </c>
      <c r="D7" s="87">
        <v>2026</v>
      </c>
      <c r="E7" s="87">
        <v>96</v>
      </c>
      <c r="F7" s="87">
        <v>61</v>
      </c>
      <c r="G7" s="196">
        <f t="shared" si="0"/>
        <v>0.63541666666666663</v>
      </c>
      <c r="H7" s="34" t="s">
        <v>203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 spans="1:25" ht="15.75" customHeight="1" x14ac:dyDescent="0.2">
      <c r="A8" s="60"/>
      <c r="B8" s="239" t="s">
        <v>204</v>
      </c>
      <c r="C8" s="193" t="s">
        <v>1</v>
      </c>
      <c r="D8" s="81">
        <v>2025</v>
      </c>
      <c r="E8" s="81">
        <v>100</v>
      </c>
      <c r="F8" s="81">
        <v>66</v>
      </c>
      <c r="G8" s="194">
        <f t="shared" si="0"/>
        <v>0.66</v>
      </c>
      <c r="H8" s="24" t="s">
        <v>205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spans="1:25" ht="15.75" customHeight="1" x14ac:dyDescent="0.2">
      <c r="A9" s="60"/>
      <c r="B9" s="227"/>
      <c r="C9" s="193" t="s">
        <v>206</v>
      </c>
      <c r="D9" s="81">
        <v>2024</v>
      </c>
      <c r="E9" s="81">
        <v>100</v>
      </c>
      <c r="F9" s="81">
        <v>65</v>
      </c>
      <c r="G9" s="194">
        <f t="shared" si="0"/>
        <v>0.65</v>
      </c>
      <c r="H9" s="24" t="s">
        <v>207</v>
      </c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 spans="1:25" ht="15.75" customHeight="1" x14ac:dyDescent="0.2">
      <c r="A10" s="60"/>
      <c r="B10" s="238" t="s">
        <v>208</v>
      </c>
      <c r="C10" s="178" t="s">
        <v>202</v>
      </c>
      <c r="D10" s="87">
        <v>2024</v>
      </c>
      <c r="E10" s="87">
        <v>100</v>
      </c>
      <c r="F10" s="87"/>
      <c r="G10" s="196">
        <f t="shared" si="0"/>
        <v>0</v>
      </c>
      <c r="H10" s="34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 spans="1:25" ht="15.75" customHeight="1" x14ac:dyDescent="0.2">
      <c r="A11" s="60"/>
      <c r="B11" s="227"/>
      <c r="C11" s="178" t="s">
        <v>1</v>
      </c>
      <c r="D11" s="87">
        <v>2024</v>
      </c>
      <c r="E11" s="87">
        <v>100</v>
      </c>
      <c r="F11" s="87"/>
      <c r="G11" s="196">
        <f t="shared" si="0"/>
        <v>0</v>
      </c>
      <c r="H11" s="34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 spans="1:25" ht="15.75" customHeight="1" x14ac:dyDescent="0.2">
      <c r="A12" s="60"/>
      <c r="B12" s="239" t="s">
        <v>209</v>
      </c>
      <c r="C12" s="193" t="s">
        <v>206</v>
      </c>
      <c r="D12" s="81">
        <v>2023</v>
      </c>
      <c r="E12" s="81">
        <v>100</v>
      </c>
      <c r="F12" s="81"/>
      <c r="G12" s="194">
        <f t="shared" si="0"/>
        <v>0</v>
      </c>
      <c r="H12" s="24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 spans="1:25" ht="15.75" customHeight="1" x14ac:dyDescent="0.2">
      <c r="A13" s="60"/>
      <c r="B13" s="227"/>
      <c r="C13" s="193" t="s">
        <v>202</v>
      </c>
      <c r="D13" s="81">
        <v>2023</v>
      </c>
      <c r="E13" s="81">
        <v>100</v>
      </c>
      <c r="F13" s="81"/>
      <c r="G13" s="194">
        <f t="shared" si="0"/>
        <v>0</v>
      </c>
      <c r="H13" s="24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 spans="1:25" ht="15.75" customHeight="1" x14ac:dyDescent="0.2">
      <c r="A14" s="60"/>
      <c r="B14" s="238" t="s">
        <v>210</v>
      </c>
      <c r="C14" s="178" t="s">
        <v>1</v>
      </c>
      <c r="D14" s="87">
        <v>2023</v>
      </c>
      <c r="E14" s="87">
        <v>100</v>
      </c>
      <c r="F14" s="87"/>
      <c r="G14" s="196">
        <f t="shared" si="0"/>
        <v>0</v>
      </c>
      <c r="H14" s="34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 spans="1:25" ht="15.75" customHeight="1" x14ac:dyDescent="0.2">
      <c r="A15" s="60"/>
      <c r="B15" s="227"/>
      <c r="C15" s="178" t="s">
        <v>206</v>
      </c>
      <c r="D15" s="87">
        <v>2022</v>
      </c>
      <c r="E15" s="87">
        <v>100</v>
      </c>
      <c r="F15" s="87"/>
      <c r="G15" s="196">
        <f t="shared" si="0"/>
        <v>0</v>
      </c>
      <c r="H15" s="34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 spans="1:25" ht="15.75" customHeight="1" x14ac:dyDescent="0.2">
      <c r="A16" s="60"/>
      <c r="B16" s="239" t="s">
        <v>211</v>
      </c>
      <c r="C16" s="193" t="s">
        <v>202</v>
      </c>
      <c r="D16" s="81">
        <v>2022</v>
      </c>
      <c r="E16" s="81">
        <v>100</v>
      </c>
      <c r="F16" s="81"/>
      <c r="G16" s="194">
        <f t="shared" si="0"/>
        <v>0</v>
      </c>
      <c r="H16" s="24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 spans="1:25" ht="15.75" customHeight="1" x14ac:dyDescent="0.2">
      <c r="A17" s="60"/>
      <c r="B17" s="227"/>
      <c r="C17" s="193" t="s">
        <v>1</v>
      </c>
      <c r="D17" s="81">
        <v>2022</v>
      </c>
      <c r="E17" s="81">
        <v>100</v>
      </c>
      <c r="F17" s="81"/>
      <c r="G17" s="194">
        <f t="shared" si="0"/>
        <v>0</v>
      </c>
      <c r="H17" s="24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 spans="1:25" ht="15.75" customHeight="1" x14ac:dyDescent="0.2">
      <c r="A18" s="60"/>
      <c r="B18" s="238" t="s">
        <v>210</v>
      </c>
      <c r="C18" s="178" t="s">
        <v>206</v>
      </c>
      <c r="D18" s="87">
        <v>2025</v>
      </c>
      <c r="E18" s="87">
        <v>100</v>
      </c>
      <c r="F18" s="87"/>
      <c r="G18" s="196">
        <f t="shared" si="0"/>
        <v>0</v>
      </c>
      <c r="H18" s="34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 spans="1:25" ht="15.75" customHeight="1" x14ac:dyDescent="0.2">
      <c r="A19" s="60"/>
      <c r="B19" s="227"/>
      <c r="C19" s="178" t="s">
        <v>202</v>
      </c>
      <c r="D19" s="87">
        <v>2021</v>
      </c>
      <c r="E19" s="87">
        <v>100</v>
      </c>
      <c r="F19" s="87"/>
      <c r="G19" s="196">
        <f t="shared" si="0"/>
        <v>0</v>
      </c>
      <c r="H19" s="34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 spans="1:25" ht="15.75" customHeight="1" x14ac:dyDescent="0.2">
      <c r="A20" s="60"/>
      <c r="B20" s="197" t="s">
        <v>211</v>
      </c>
      <c r="C20" s="193" t="s">
        <v>367</v>
      </c>
      <c r="D20" s="81">
        <v>2027</v>
      </c>
      <c r="E20" s="81">
        <v>100</v>
      </c>
      <c r="F20" s="81"/>
      <c r="G20" s="194">
        <f t="shared" si="0"/>
        <v>0</v>
      </c>
      <c r="H20" s="24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25" ht="15.75" customHeight="1" x14ac:dyDescent="0.2">
      <c r="A21" s="60"/>
      <c r="B21" s="60"/>
      <c r="C21" s="60"/>
      <c r="D21" s="60"/>
      <c r="E21" s="60"/>
      <c r="F21" s="60"/>
      <c r="G21" s="60"/>
      <c r="H21" s="3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 spans="1:25" ht="15.75" customHeight="1" x14ac:dyDescent="0.2">
      <c r="A22" s="60"/>
      <c r="B22" s="60"/>
      <c r="C22" s="60"/>
      <c r="D22" s="60"/>
      <c r="E22" s="60"/>
      <c r="F22" s="60"/>
      <c r="G22" s="60"/>
      <c r="H22" s="3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 spans="1:25" ht="15.75" customHeight="1" x14ac:dyDescent="0.2">
      <c r="A23" s="60"/>
      <c r="B23" s="60"/>
      <c r="C23" s="60"/>
      <c r="D23" s="60"/>
      <c r="E23" s="60"/>
      <c r="F23" s="60"/>
      <c r="G23" s="60"/>
      <c r="H23" s="3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 spans="1:25" ht="15.75" customHeight="1" x14ac:dyDescent="0.2">
      <c r="A24" s="60"/>
      <c r="B24" s="60"/>
      <c r="C24" s="60"/>
      <c r="D24" s="60"/>
      <c r="E24" s="60"/>
      <c r="F24" s="60"/>
      <c r="G24" s="60"/>
      <c r="H24" s="3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 spans="1:25" ht="15.75" customHeight="1" x14ac:dyDescent="0.2">
      <c r="A25" s="60"/>
      <c r="B25" s="60"/>
      <c r="C25" s="60"/>
      <c r="D25" s="60"/>
      <c r="E25" s="60"/>
      <c r="F25" s="60"/>
      <c r="G25" s="60"/>
      <c r="H25" s="3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 spans="1:25" ht="15.75" customHeight="1" x14ac:dyDescent="0.2">
      <c r="A26" s="60"/>
      <c r="B26" s="60"/>
      <c r="C26" s="60"/>
      <c r="D26" s="60"/>
      <c r="E26" s="60"/>
      <c r="F26" s="60"/>
      <c r="G26" s="60"/>
      <c r="H26" s="3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 spans="1:25" ht="15.75" customHeight="1" x14ac:dyDescent="0.2">
      <c r="A27" s="60"/>
      <c r="B27" s="60"/>
      <c r="C27" s="60"/>
      <c r="D27" s="60"/>
      <c r="E27" s="60"/>
      <c r="F27" s="60"/>
      <c r="G27" s="60"/>
      <c r="H27" s="3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 spans="1:25" ht="15.75" customHeight="1" x14ac:dyDescent="0.2">
      <c r="A28" s="60"/>
      <c r="B28" s="60"/>
      <c r="C28" s="60"/>
      <c r="D28" s="60"/>
      <c r="E28" s="60"/>
      <c r="F28" s="60"/>
      <c r="G28" s="60"/>
      <c r="H28" s="3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 spans="1:25" ht="15.75" customHeight="1" x14ac:dyDescent="0.2">
      <c r="A29" s="60"/>
      <c r="B29" s="60"/>
      <c r="C29" s="60"/>
      <c r="D29" s="60"/>
      <c r="E29" s="60"/>
      <c r="F29" s="60"/>
      <c r="G29" s="60"/>
      <c r="H29" s="3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25" ht="15.75" customHeight="1" x14ac:dyDescent="0.2">
      <c r="A30" s="60"/>
      <c r="B30" s="60"/>
      <c r="C30" s="60"/>
      <c r="D30" s="60"/>
      <c r="E30" s="60"/>
      <c r="F30" s="60"/>
      <c r="G30" s="60"/>
      <c r="H30" s="3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 spans="1:25" ht="15.75" customHeight="1" x14ac:dyDescent="0.2">
      <c r="A31" s="60"/>
      <c r="B31" s="60"/>
      <c r="C31" s="60"/>
      <c r="D31" s="60"/>
      <c r="E31" s="60"/>
      <c r="F31" s="60"/>
      <c r="G31" s="60"/>
      <c r="H31" s="3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 spans="1:25" ht="15.75" customHeight="1" x14ac:dyDescent="0.2">
      <c r="A32" s="60"/>
      <c r="B32" s="60"/>
      <c r="C32" s="60"/>
      <c r="D32" s="60"/>
      <c r="E32" s="60"/>
      <c r="F32" s="60"/>
      <c r="G32" s="60"/>
      <c r="H32" s="3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 spans="1:25" ht="15.75" customHeight="1" x14ac:dyDescent="0.2">
      <c r="A33" s="60"/>
      <c r="B33" s="60"/>
      <c r="C33" s="60"/>
      <c r="D33" s="60"/>
      <c r="E33" s="60"/>
      <c r="F33" s="60"/>
      <c r="G33" s="60"/>
      <c r="H33" s="3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ht="15.75" customHeight="1" x14ac:dyDescent="0.2">
      <c r="A34" s="60"/>
      <c r="B34" s="60"/>
      <c r="C34" s="60"/>
      <c r="D34" s="60"/>
      <c r="E34" s="60"/>
      <c r="F34" s="60"/>
      <c r="G34" s="60"/>
      <c r="H34" s="3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 spans="1:25" ht="15.75" customHeight="1" x14ac:dyDescent="0.2">
      <c r="A35" s="60"/>
      <c r="B35" s="60"/>
      <c r="C35" s="60"/>
      <c r="D35" s="60"/>
      <c r="E35" s="60"/>
      <c r="F35" s="60"/>
      <c r="G35" s="60"/>
      <c r="H35" s="3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 spans="1:25" ht="15.75" customHeight="1" x14ac:dyDescent="0.2">
      <c r="A36" s="60"/>
      <c r="B36" s="60"/>
      <c r="C36" s="60"/>
      <c r="D36" s="60"/>
      <c r="E36" s="60"/>
      <c r="F36" s="60"/>
      <c r="G36" s="60"/>
      <c r="H36" s="3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 spans="1:25" ht="15.75" customHeight="1" x14ac:dyDescent="0.2">
      <c r="A37" s="60"/>
      <c r="B37" s="60"/>
      <c r="C37" s="60"/>
      <c r="D37" s="60"/>
      <c r="E37" s="60"/>
      <c r="F37" s="60"/>
      <c r="G37" s="60"/>
      <c r="H37" s="3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 spans="1:25" ht="15.75" customHeight="1" x14ac:dyDescent="0.2">
      <c r="A38" s="60"/>
      <c r="B38" s="60"/>
      <c r="C38" s="60"/>
      <c r="D38" s="60"/>
      <c r="E38" s="60"/>
      <c r="F38" s="60"/>
      <c r="G38" s="60"/>
      <c r="H38" s="3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 spans="1:25" ht="15.75" customHeight="1" x14ac:dyDescent="0.2">
      <c r="A39" s="60"/>
      <c r="B39" s="60"/>
      <c r="C39" s="60"/>
      <c r="D39" s="60"/>
      <c r="E39" s="60"/>
      <c r="F39" s="60"/>
      <c r="G39" s="60"/>
      <c r="H39" s="3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 spans="1:25" ht="15.75" customHeight="1" x14ac:dyDescent="0.2">
      <c r="A40" s="60"/>
      <c r="B40" s="60"/>
      <c r="C40" s="60"/>
      <c r="D40" s="60"/>
      <c r="E40" s="60"/>
      <c r="F40" s="60"/>
      <c r="G40" s="60"/>
      <c r="H40" s="3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 spans="1:25" ht="15.75" customHeight="1" x14ac:dyDescent="0.2">
      <c r="A41" s="60"/>
      <c r="B41" s="60"/>
      <c r="C41" s="60"/>
      <c r="D41" s="60"/>
      <c r="E41" s="60"/>
      <c r="F41" s="60"/>
      <c r="G41" s="60"/>
      <c r="H41" s="3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 spans="1:25" ht="15.75" customHeight="1" x14ac:dyDescent="0.2">
      <c r="A42" s="60"/>
      <c r="B42" s="60"/>
      <c r="C42" s="60"/>
      <c r="D42" s="60"/>
      <c r="E42" s="60"/>
      <c r="F42" s="60"/>
      <c r="G42" s="60"/>
      <c r="H42" s="3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 spans="1:25" ht="15.75" customHeight="1" x14ac:dyDescent="0.2">
      <c r="A43" s="60"/>
      <c r="B43" s="60"/>
      <c r="C43" s="60"/>
      <c r="D43" s="60"/>
      <c r="E43" s="60"/>
      <c r="F43" s="60"/>
      <c r="G43" s="60"/>
      <c r="H43" s="3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 spans="1:25" ht="15.75" customHeight="1" x14ac:dyDescent="0.2">
      <c r="A44" s="60"/>
      <c r="B44" s="60"/>
      <c r="C44" s="60"/>
      <c r="D44" s="60"/>
      <c r="E44" s="60"/>
      <c r="F44" s="60"/>
      <c r="G44" s="60"/>
      <c r="H44" s="3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 spans="1:25" ht="15.75" customHeight="1" x14ac:dyDescent="0.2">
      <c r="A45" s="60"/>
      <c r="B45" s="60"/>
      <c r="C45" s="60"/>
      <c r="D45" s="60"/>
      <c r="E45" s="60"/>
      <c r="F45" s="60"/>
      <c r="G45" s="60"/>
      <c r="H45" s="3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 spans="1:25" ht="15.75" customHeight="1" x14ac:dyDescent="0.2">
      <c r="A46" s="60"/>
      <c r="B46" s="60"/>
      <c r="C46" s="60"/>
      <c r="D46" s="60"/>
      <c r="E46" s="60"/>
      <c r="F46" s="60"/>
      <c r="G46" s="60"/>
      <c r="H46" s="3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spans="1:25" ht="15.75" customHeight="1" x14ac:dyDescent="0.2">
      <c r="A47" s="60"/>
      <c r="B47" s="60"/>
      <c r="C47" s="60"/>
      <c r="D47" s="60"/>
      <c r="E47" s="60"/>
      <c r="F47" s="60"/>
      <c r="G47" s="60"/>
      <c r="H47" s="3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 spans="1:25" ht="15.75" customHeight="1" x14ac:dyDescent="0.2">
      <c r="A48" s="60"/>
      <c r="B48" s="60"/>
      <c r="C48" s="60"/>
      <c r="D48" s="60"/>
      <c r="E48" s="60"/>
      <c r="F48" s="60"/>
      <c r="G48" s="60"/>
      <c r="H48" s="3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spans="1:25" ht="15.75" customHeight="1" x14ac:dyDescent="0.2">
      <c r="A49" s="60"/>
      <c r="B49" s="60"/>
      <c r="C49" s="60"/>
      <c r="D49" s="60"/>
      <c r="E49" s="60"/>
      <c r="F49" s="60"/>
      <c r="G49" s="60"/>
      <c r="H49" s="3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spans="1:25" ht="15.75" customHeight="1" x14ac:dyDescent="0.2">
      <c r="A50" s="60"/>
      <c r="B50" s="60"/>
      <c r="C50" s="60"/>
      <c r="D50" s="60"/>
      <c r="E50" s="60"/>
      <c r="F50" s="60"/>
      <c r="G50" s="60"/>
      <c r="H50" s="3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 spans="1:25" ht="15.75" customHeight="1" x14ac:dyDescent="0.2">
      <c r="A51" s="60"/>
      <c r="B51" s="60"/>
      <c r="C51" s="60"/>
      <c r="D51" s="60"/>
      <c r="E51" s="60"/>
      <c r="F51" s="60"/>
      <c r="G51" s="60"/>
      <c r="H51" s="3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 spans="1:25" ht="15.75" customHeight="1" x14ac:dyDescent="0.2">
      <c r="A52" s="60"/>
      <c r="B52" s="60"/>
      <c r="C52" s="60"/>
      <c r="D52" s="60"/>
      <c r="E52" s="60"/>
      <c r="F52" s="60"/>
      <c r="G52" s="60"/>
      <c r="H52" s="3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spans="1:25" ht="15.75" customHeight="1" x14ac:dyDescent="0.2">
      <c r="A53" s="60"/>
      <c r="B53" s="60"/>
      <c r="C53" s="60"/>
      <c r="D53" s="60"/>
      <c r="E53" s="60"/>
      <c r="F53" s="60"/>
      <c r="G53" s="60"/>
      <c r="H53" s="3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 spans="1:25" ht="15.75" customHeight="1" x14ac:dyDescent="0.2">
      <c r="A54" s="60"/>
      <c r="B54" s="60"/>
      <c r="C54" s="60"/>
      <c r="D54" s="60"/>
      <c r="E54" s="60"/>
      <c r="F54" s="60"/>
      <c r="G54" s="60"/>
      <c r="H54" s="3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 spans="1:25" ht="15.75" customHeight="1" x14ac:dyDescent="0.2">
      <c r="A55" s="60"/>
      <c r="B55" s="60"/>
      <c r="C55" s="60"/>
      <c r="D55" s="60"/>
      <c r="E55" s="60"/>
      <c r="F55" s="60"/>
      <c r="G55" s="60"/>
      <c r="H55" s="3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spans="1:25" ht="15.75" customHeight="1" x14ac:dyDescent="0.2">
      <c r="A56" s="60"/>
      <c r="B56" s="60"/>
      <c r="C56" s="60"/>
      <c r="D56" s="60"/>
      <c r="E56" s="60"/>
      <c r="F56" s="60"/>
      <c r="G56" s="60"/>
      <c r="H56" s="3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 spans="1:25" ht="15.75" customHeight="1" x14ac:dyDescent="0.2">
      <c r="A57" s="60"/>
      <c r="B57" s="60"/>
      <c r="C57" s="60"/>
      <c r="D57" s="60"/>
      <c r="E57" s="60"/>
      <c r="F57" s="60"/>
      <c r="G57" s="60"/>
      <c r="H57" s="3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 spans="1:25" ht="15.75" customHeight="1" x14ac:dyDescent="0.2">
      <c r="A58" s="60"/>
      <c r="B58" s="60"/>
      <c r="C58" s="60"/>
      <c r="D58" s="60"/>
      <c r="E58" s="60"/>
      <c r="F58" s="60"/>
      <c r="G58" s="60"/>
      <c r="H58" s="3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 spans="1:25" ht="15.75" customHeight="1" x14ac:dyDescent="0.2">
      <c r="A59" s="60"/>
      <c r="B59" s="60"/>
      <c r="C59" s="60"/>
      <c r="D59" s="60"/>
      <c r="E59" s="60"/>
      <c r="F59" s="60"/>
      <c r="G59" s="60"/>
      <c r="H59" s="3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 spans="1:25" ht="15.75" customHeight="1" x14ac:dyDescent="0.2">
      <c r="A60" s="60"/>
      <c r="B60" s="60"/>
      <c r="C60" s="60"/>
      <c r="D60" s="60"/>
      <c r="E60" s="60"/>
      <c r="F60" s="60"/>
      <c r="G60" s="60"/>
      <c r="H60" s="3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 spans="1:25" ht="15.75" customHeight="1" x14ac:dyDescent="0.2">
      <c r="A61" s="60"/>
      <c r="B61" s="60"/>
      <c r="C61" s="60"/>
      <c r="D61" s="60"/>
      <c r="E61" s="60"/>
      <c r="F61" s="60"/>
      <c r="G61" s="60"/>
      <c r="H61" s="3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 spans="1:25" ht="15.75" customHeight="1" x14ac:dyDescent="0.2">
      <c r="A62" s="60"/>
      <c r="B62" s="60"/>
      <c r="C62" s="60"/>
      <c r="D62" s="60"/>
      <c r="E62" s="60"/>
      <c r="F62" s="60"/>
      <c r="G62" s="60"/>
      <c r="H62" s="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 spans="1:25" ht="15.75" customHeight="1" x14ac:dyDescent="0.2">
      <c r="A63" s="60"/>
      <c r="B63" s="60"/>
      <c r="C63" s="60"/>
      <c r="D63" s="60"/>
      <c r="E63" s="60"/>
      <c r="F63" s="60"/>
      <c r="G63" s="60"/>
      <c r="H63" s="3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 spans="1:25" ht="15.75" customHeight="1" x14ac:dyDescent="0.2">
      <c r="A64" s="60"/>
      <c r="B64" s="60"/>
      <c r="C64" s="60"/>
      <c r="D64" s="60"/>
      <c r="E64" s="60"/>
      <c r="F64" s="60"/>
      <c r="G64" s="60"/>
      <c r="H64" s="3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 spans="1:25" ht="15.75" customHeight="1" x14ac:dyDescent="0.2">
      <c r="A65" s="60"/>
      <c r="B65" s="60"/>
      <c r="C65" s="60"/>
      <c r="D65" s="60"/>
      <c r="E65" s="60"/>
      <c r="F65" s="60"/>
      <c r="G65" s="60"/>
      <c r="H65" s="3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 spans="1:25" ht="15.75" customHeight="1" x14ac:dyDescent="0.2">
      <c r="A66" s="60"/>
      <c r="B66" s="60"/>
      <c r="C66" s="60"/>
      <c r="D66" s="60"/>
      <c r="E66" s="60"/>
      <c r="F66" s="60"/>
      <c r="G66" s="60"/>
      <c r="H66" s="3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 spans="1:25" ht="15.75" customHeight="1" x14ac:dyDescent="0.2">
      <c r="A67" s="60"/>
      <c r="B67" s="60"/>
      <c r="C67" s="60"/>
      <c r="D67" s="60"/>
      <c r="E67" s="60"/>
      <c r="F67" s="60"/>
      <c r="G67" s="60"/>
      <c r="H67" s="3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 spans="1:25" ht="15.75" customHeight="1" x14ac:dyDescent="0.2">
      <c r="A68" s="60"/>
      <c r="B68" s="60"/>
      <c r="C68" s="60"/>
      <c r="D68" s="60"/>
      <c r="E68" s="60"/>
      <c r="F68" s="60"/>
      <c r="G68" s="60"/>
      <c r="H68" s="3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 spans="1:25" ht="15.75" customHeight="1" x14ac:dyDescent="0.2">
      <c r="A69" s="60"/>
      <c r="B69" s="60"/>
      <c r="C69" s="60"/>
      <c r="D69" s="60"/>
      <c r="E69" s="60"/>
      <c r="F69" s="60"/>
      <c r="G69" s="60"/>
      <c r="H69" s="3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 spans="1:25" ht="15.75" customHeight="1" x14ac:dyDescent="0.2">
      <c r="A70" s="60"/>
      <c r="B70" s="60"/>
      <c r="C70" s="60"/>
      <c r="D70" s="60"/>
      <c r="E70" s="60"/>
      <c r="F70" s="60"/>
      <c r="G70" s="60"/>
      <c r="H70" s="3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 spans="1:25" ht="15.75" customHeight="1" x14ac:dyDescent="0.2">
      <c r="A71" s="60"/>
      <c r="B71" s="60"/>
      <c r="C71" s="60"/>
      <c r="D71" s="60"/>
      <c r="E71" s="60"/>
      <c r="F71" s="60"/>
      <c r="G71" s="60"/>
      <c r="H71" s="3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 spans="1:25" ht="15.75" customHeight="1" x14ac:dyDescent="0.2">
      <c r="A72" s="60"/>
      <c r="B72" s="60"/>
      <c r="C72" s="60"/>
      <c r="D72" s="60"/>
      <c r="E72" s="60"/>
      <c r="F72" s="60"/>
      <c r="G72" s="60"/>
      <c r="H72" s="3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 spans="1:25" ht="15.75" customHeight="1" x14ac:dyDescent="0.2">
      <c r="A73" s="60"/>
      <c r="B73" s="60"/>
      <c r="C73" s="60"/>
      <c r="D73" s="60"/>
      <c r="E73" s="60"/>
      <c r="F73" s="60"/>
      <c r="G73" s="60"/>
      <c r="H73" s="3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 spans="1:25" ht="15.75" customHeight="1" x14ac:dyDescent="0.2">
      <c r="A74" s="60"/>
      <c r="B74" s="60"/>
      <c r="C74" s="60"/>
      <c r="D74" s="60"/>
      <c r="E74" s="60"/>
      <c r="F74" s="60"/>
      <c r="G74" s="60"/>
      <c r="H74" s="3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 spans="1:25" ht="15.75" customHeight="1" x14ac:dyDescent="0.2">
      <c r="A75" s="60"/>
      <c r="B75" s="60"/>
      <c r="C75" s="60"/>
      <c r="D75" s="60"/>
      <c r="E75" s="60"/>
      <c r="F75" s="60"/>
      <c r="G75" s="60"/>
      <c r="H75" s="3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 spans="1:25" ht="15.75" customHeight="1" x14ac:dyDescent="0.2">
      <c r="A76" s="60"/>
      <c r="B76" s="60"/>
      <c r="C76" s="60"/>
      <c r="D76" s="60"/>
      <c r="E76" s="60"/>
      <c r="F76" s="60"/>
      <c r="G76" s="60"/>
      <c r="H76" s="3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 spans="1:25" ht="15.75" customHeight="1" x14ac:dyDescent="0.2">
      <c r="A77" s="60"/>
      <c r="B77" s="60"/>
      <c r="C77" s="60"/>
      <c r="D77" s="60"/>
      <c r="E77" s="60"/>
      <c r="F77" s="60"/>
      <c r="G77" s="60"/>
      <c r="H77" s="3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 spans="1:25" ht="15.75" customHeight="1" x14ac:dyDescent="0.2">
      <c r="A78" s="60"/>
      <c r="B78" s="60"/>
      <c r="C78" s="60"/>
      <c r="D78" s="60"/>
      <c r="E78" s="60"/>
      <c r="F78" s="60"/>
      <c r="G78" s="60"/>
      <c r="H78" s="3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 spans="1:25" ht="15.75" customHeight="1" x14ac:dyDescent="0.2">
      <c r="A79" s="60"/>
      <c r="B79" s="60"/>
      <c r="C79" s="60"/>
      <c r="D79" s="60"/>
      <c r="E79" s="60"/>
      <c r="F79" s="60"/>
      <c r="G79" s="60"/>
      <c r="H79" s="3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 spans="1:25" ht="15.75" customHeight="1" x14ac:dyDescent="0.2">
      <c r="A80" s="60"/>
      <c r="B80" s="60"/>
      <c r="C80" s="60"/>
      <c r="D80" s="60"/>
      <c r="E80" s="60"/>
      <c r="F80" s="60"/>
      <c r="G80" s="60"/>
      <c r="H80" s="3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 spans="1:25" ht="15.75" customHeight="1" x14ac:dyDescent="0.2">
      <c r="A81" s="60"/>
      <c r="B81" s="60"/>
      <c r="C81" s="60"/>
      <c r="D81" s="60"/>
      <c r="E81" s="60"/>
      <c r="F81" s="60"/>
      <c r="G81" s="60"/>
      <c r="H81" s="3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 spans="1:25" ht="15.75" customHeight="1" x14ac:dyDescent="0.2">
      <c r="A82" s="60"/>
      <c r="B82" s="60"/>
      <c r="C82" s="60"/>
      <c r="D82" s="60"/>
      <c r="E82" s="60"/>
      <c r="F82" s="60"/>
      <c r="G82" s="60"/>
      <c r="H82" s="3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 spans="1:25" ht="15.75" customHeight="1" x14ac:dyDescent="0.2">
      <c r="A83" s="60"/>
      <c r="B83" s="60"/>
      <c r="C83" s="60"/>
      <c r="D83" s="60"/>
      <c r="E83" s="60"/>
      <c r="F83" s="60"/>
      <c r="G83" s="60"/>
      <c r="H83" s="3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 spans="1:25" ht="15.75" customHeight="1" x14ac:dyDescent="0.2">
      <c r="A84" s="60"/>
      <c r="B84" s="60"/>
      <c r="C84" s="60"/>
      <c r="D84" s="60"/>
      <c r="E84" s="60"/>
      <c r="F84" s="60"/>
      <c r="G84" s="60"/>
      <c r="H84" s="3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 spans="1:25" ht="15.75" customHeight="1" x14ac:dyDescent="0.2">
      <c r="A85" s="60"/>
      <c r="B85" s="60"/>
      <c r="C85" s="60"/>
      <c r="D85" s="60"/>
      <c r="E85" s="60"/>
      <c r="F85" s="60"/>
      <c r="G85" s="60"/>
      <c r="H85" s="3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 spans="1:25" ht="15.75" customHeight="1" x14ac:dyDescent="0.2">
      <c r="A86" s="60"/>
      <c r="B86" s="60"/>
      <c r="C86" s="60"/>
      <c r="D86" s="60"/>
      <c r="E86" s="60"/>
      <c r="F86" s="60"/>
      <c r="G86" s="60"/>
      <c r="H86" s="3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 spans="1:25" ht="15.75" customHeight="1" x14ac:dyDescent="0.2">
      <c r="A87" s="60"/>
      <c r="B87" s="60"/>
      <c r="C87" s="60"/>
      <c r="D87" s="60"/>
      <c r="E87" s="60"/>
      <c r="F87" s="60"/>
      <c r="G87" s="60"/>
      <c r="H87" s="3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 spans="1:25" ht="15.75" customHeight="1" x14ac:dyDescent="0.2">
      <c r="A88" s="60"/>
      <c r="B88" s="60"/>
      <c r="C88" s="60"/>
      <c r="D88" s="60"/>
      <c r="E88" s="60"/>
      <c r="F88" s="60"/>
      <c r="G88" s="60"/>
      <c r="H88" s="3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 spans="1:25" ht="15.75" customHeight="1" x14ac:dyDescent="0.2">
      <c r="A89" s="60"/>
      <c r="B89" s="60"/>
      <c r="C89" s="60"/>
      <c r="D89" s="60"/>
      <c r="E89" s="60"/>
      <c r="F89" s="60"/>
      <c r="G89" s="60"/>
      <c r="H89" s="3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 spans="1:25" ht="15.75" customHeight="1" x14ac:dyDescent="0.2">
      <c r="A90" s="60"/>
      <c r="B90" s="60"/>
      <c r="C90" s="60"/>
      <c r="D90" s="60"/>
      <c r="E90" s="60"/>
      <c r="F90" s="60"/>
      <c r="G90" s="60"/>
      <c r="H90" s="3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 spans="1:25" ht="15.75" customHeight="1" x14ac:dyDescent="0.2">
      <c r="A91" s="60"/>
      <c r="B91" s="60"/>
      <c r="C91" s="60"/>
      <c r="D91" s="60"/>
      <c r="E91" s="60"/>
      <c r="F91" s="60"/>
      <c r="G91" s="60"/>
      <c r="H91" s="3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 spans="1:25" ht="15.75" customHeight="1" x14ac:dyDescent="0.2">
      <c r="A92" s="60"/>
      <c r="B92" s="60"/>
      <c r="C92" s="60"/>
      <c r="D92" s="60"/>
      <c r="E92" s="60"/>
      <c r="F92" s="60"/>
      <c r="G92" s="60"/>
      <c r="H92" s="3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 spans="1:25" ht="15.75" customHeight="1" x14ac:dyDescent="0.2">
      <c r="A93" s="60"/>
      <c r="B93" s="60"/>
      <c r="C93" s="60"/>
      <c r="D93" s="60"/>
      <c r="E93" s="60"/>
      <c r="F93" s="60"/>
      <c r="G93" s="60"/>
      <c r="H93" s="3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 spans="1:25" ht="15.75" customHeight="1" x14ac:dyDescent="0.2">
      <c r="A94" s="60"/>
      <c r="B94" s="60"/>
      <c r="C94" s="60"/>
      <c r="D94" s="60"/>
      <c r="E94" s="60"/>
      <c r="F94" s="60"/>
      <c r="G94" s="60"/>
      <c r="H94" s="3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 spans="1:25" ht="15.75" customHeight="1" x14ac:dyDescent="0.2">
      <c r="A95" s="60"/>
      <c r="B95" s="60"/>
      <c r="C95" s="60"/>
      <c r="D95" s="60"/>
      <c r="E95" s="60"/>
      <c r="F95" s="60"/>
      <c r="G95" s="60"/>
      <c r="H95" s="3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 spans="1:25" ht="15.75" customHeight="1" x14ac:dyDescent="0.2">
      <c r="A96" s="60"/>
      <c r="B96" s="60"/>
      <c r="C96" s="60"/>
      <c r="D96" s="60"/>
      <c r="E96" s="60"/>
      <c r="F96" s="60"/>
      <c r="G96" s="60"/>
      <c r="H96" s="3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 spans="1:25" ht="15.75" customHeight="1" x14ac:dyDescent="0.2">
      <c r="A97" s="60"/>
      <c r="B97" s="60"/>
      <c r="C97" s="60"/>
      <c r="D97" s="60"/>
      <c r="E97" s="60"/>
      <c r="F97" s="60"/>
      <c r="G97" s="60"/>
      <c r="H97" s="3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 spans="1:25" ht="15.75" customHeight="1" x14ac:dyDescent="0.2">
      <c r="A98" s="60"/>
      <c r="B98" s="60"/>
      <c r="C98" s="60"/>
      <c r="D98" s="60"/>
      <c r="E98" s="60"/>
      <c r="F98" s="60"/>
      <c r="G98" s="60"/>
      <c r="H98" s="3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 spans="1:25" ht="15.75" customHeight="1" x14ac:dyDescent="0.2">
      <c r="A99" s="60"/>
      <c r="B99" s="60"/>
      <c r="C99" s="60"/>
      <c r="D99" s="60"/>
      <c r="E99" s="60"/>
      <c r="F99" s="60"/>
      <c r="G99" s="60"/>
      <c r="H99" s="3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 spans="1:25" ht="15.75" customHeight="1" x14ac:dyDescent="0.2">
      <c r="A100" s="60"/>
      <c r="B100" s="60"/>
      <c r="C100" s="60"/>
      <c r="D100" s="60"/>
      <c r="E100" s="60"/>
      <c r="F100" s="60"/>
      <c r="G100" s="60"/>
      <c r="H100" s="3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 spans="1:25" ht="15.75" customHeight="1" x14ac:dyDescent="0.2">
      <c r="A101" s="60"/>
      <c r="B101" s="60"/>
      <c r="C101" s="60"/>
      <c r="D101" s="60"/>
      <c r="E101" s="60"/>
      <c r="F101" s="60"/>
      <c r="G101" s="60"/>
      <c r="H101" s="3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 spans="1:25" ht="15.75" customHeight="1" x14ac:dyDescent="0.2">
      <c r="A102" s="60"/>
      <c r="B102" s="60"/>
      <c r="C102" s="60"/>
      <c r="D102" s="60"/>
      <c r="E102" s="60"/>
      <c r="F102" s="60"/>
      <c r="G102" s="60"/>
      <c r="H102" s="3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 spans="1:25" ht="15.75" customHeight="1" x14ac:dyDescent="0.2">
      <c r="A103" s="60"/>
      <c r="B103" s="60"/>
      <c r="C103" s="60"/>
      <c r="D103" s="60"/>
      <c r="E103" s="60"/>
      <c r="F103" s="60"/>
      <c r="G103" s="60"/>
      <c r="H103" s="3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 spans="1:25" ht="15.75" customHeight="1" x14ac:dyDescent="0.2">
      <c r="A104" s="60"/>
      <c r="B104" s="60"/>
      <c r="C104" s="60"/>
      <c r="D104" s="60"/>
      <c r="E104" s="60"/>
      <c r="F104" s="60"/>
      <c r="G104" s="60"/>
      <c r="H104" s="3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 spans="1:25" ht="15.75" customHeight="1" x14ac:dyDescent="0.2">
      <c r="A105" s="60"/>
      <c r="B105" s="60"/>
      <c r="C105" s="60"/>
      <c r="D105" s="60"/>
      <c r="E105" s="60"/>
      <c r="F105" s="60"/>
      <c r="G105" s="60"/>
      <c r="H105" s="3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 spans="1:25" ht="15.75" customHeight="1" x14ac:dyDescent="0.2">
      <c r="A106" s="60"/>
      <c r="B106" s="60"/>
      <c r="C106" s="60"/>
      <c r="D106" s="60"/>
      <c r="E106" s="60"/>
      <c r="F106" s="60"/>
      <c r="G106" s="60"/>
      <c r="H106" s="3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 spans="1:25" ht="15.75" customHeight="1" x14ac:dyDescent="0.2">
      <c r="A107" s="60"/>
      <c r="B107" s="60"/>
      <c r="C107" s="60"/>
      <c r="D107" s="60"/>
      <c r="E107" s="60"/>
      <c r="F107" s="60"/>
      <c r="G107" s="60"/>
      <c r="H107" s="3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 spans="1:25" ht="15.75" customHeight="1" x14ac:dyDescent="0.2">
      <c r="A108" s="60"/>
      <c r="B108" s="60"/>
      <c r="C108" s="60"/>
      <c r="D108" s="60"/>
      <c r="E108" s="60"/>
      <c r="F108" s="60"/>
      <c r="G108" s="60"/>
      <c r="H108" s="3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 spans="1:25" ht="15.75" customHeight="1" x14ac:dyDescent="0.2">
      <c r="A109" s="60"/>
      <c r="B109" s="60"/>
      <c r="C109" s="60"/>
      <c r="D109" s="60"/>
      <c r="E109" s="60"/>
      <c r="F109" s="60"/>
      <c r="G109" s="60"/>
      <c r="H109" s="3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 spans="1:25" ht="15.75" customHeight="1" x14ac:dyDescent="0.2">
      <c r="A110" s="60"/>
      <c r="B110" s="60"/>
      <c r="C110" s="60"/>
      <c r="D110" s="60"/>
      <c r="E110" s="60"/>
      <c r="F110" s="60"/>
      <c r="G110" s="60"/>
      <c r="H110" s="3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 spans="1:25" ht="15.75" customHeight="1" x14ac:dyDescent="0.2">
      <c r="A111" s="60"/>
      <c r="B111" s="60"/>
      <c r="C111" s="60"/>
      <c r="D111" s="60"/>
      <c r="E111" s="60"/>
      <c r="F111" s="60"/>
      <c r="G111" s="60"/>
      <c r="H111" s="3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 spans="1:25" ht="15.75" customHeight="1" x14ac:dyDescent="0.2">
      <c r="A112" s="60"/>
      <c r="B112" s="60"/>
      <c r="C112" s="60"/>
      <c r="D112" s="60"/>
      <c r="E112" s="60"/>
      <c r="F112" s="60"/>
      <c r="G112" s="60"/>
      <c r="H112" s="3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 spans="1:25" ht="15.75" customHeight="1" x14ac:dyDescent="0.2">
      <c r="A113" s="60"/>
      <c r="B113" s="60"/>
      <c r="C113" s="60"/>
      <c r="D113" s="60"/>
      <c r="E113" s="60"/>
      <c r="F113" s="60"/>
      <c r="G113" s="60"/>
      <c r="H113" s="3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 spans="1:25" ht="15.75" customHeight="1" x14ac:dyDescent="0.2">
      <c r="A114" s="60"/>
      <c r="B114" s="60"/>
      <c r="C114" s="60"/>
      <c r="D114" s="60"/>
      <c r="E114" s="60"/>
      <c r="F114" s="60"/>
      <c r="G114" s="60"/>
      <c r="H114" s="3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 spans="1:25" ht="15.75" customHeight="1" x14ac:dyDescent="0.2">
      <c r="A115" s="60"/>
      <c r="B115" s="60"/>
      <c r="C115" s="60"/>
      <c r="D115" s="60"/>
      <c r="E115" s="60"/>
      <c r="F115" s="60"/>
      <c r="G115" s="60"/>
      <c r="H115" s="3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 spans="1:25" ht="15.75" customHeight="1" x14ac:dyDescent="0.2">
      <c r="A116" s="60"/>
      <c r="B116" s="60"/>
      <c r="C116" s="60"/>
      <c r="D116" s="60"/>
      <c r="E116" s="60"/>
      <c r="F116" s="60"/>
      <c r="G116" s="60"/>
      <c r="H116" s="3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 spans="1:25" ht="15.75" customHeight="1" x14ac:dyDescent="0.2">
      <c r="A117" s="60"/>
      <c r="B117" s="60"/>
      <c r="C117" s="60"/>
      <c r="D117" s="60"/>
      <c r="E117" s="60"/>
      <c r="F117" s="60"/>
      <c r="G117" s="60"/>
      <c r="H117" s="3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 spans="1:25" ht="15.75" customHeight="1" x14ac:dyDescent="0.2">
      <c r="A118" s="60"/>
      <c r="B118" s="60"/>
      <c r="C118" s="60"/>
      <c r="D118" s="60"/>
      <c r="E118" s="60"/>
      <c r="F118" s="60"/>
      <c r="G118" s="60"/>
      <c r="H118" s="3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 spans="1:25" ht="15.75" customHeight="1" x14ac:dyDescent="0.2">
      <c r="A119" s="60"/>
      <c r="B119" s="60"/>
      <c r="C119" s="60"/>
      <c r="D119" s="60"/>
      <c r="E119" s="60"/>
      <c r="F119" s="60"/>
      <c r="G119" s="60"/>
      <c r="H119" s="3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 spans="1:25" ht="15.75" customHeight="1" x14ac:dyDescent="0.2">
      <c r="A120" s="60"/>
      <c r="B120" s="60"/>
      <c r="C120" s="60"/>
      <c r="D120" s="60"/>
      <c r="E120" s="60"/>
      <c r="F120" s="60"/>
      <c r="G120" s="60"/>
      <c r="H120" s="3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 spans="1:25" ht="15.75" customHeight="1" x14ac:dyDescent="0.2">
      <c r="A121" s="60"/>
      <c r="B121" s="60"/>
      <c r="C121" s="60"/>
      <c r="D121" s="60"/>
      <c r="E121" s="60"/>
      <c r="F121" s="60"/>
      <c r="G121" s="60"/>
      <c r="H121" s="3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 spans="1:25" ht="15.75" customHeight="1" x14ac:dyDescent="0.2">
      <c r="A122" s="60"/>
      <c r="B122" s="60"/>
      <c r="C122" s="60"/>
      <c r="D122" s="60"/>
      <c r="E122" s="60"/>
      <c r="F122" s="60"/>
      <c r="G122" s="60"/>
      <c r="H122" s="3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 spans="1:25" ht="15.75" customHeight="1" x14ac:dyDescent="0.2">
      <c r="A123" s="60"/>
      <c r="B123" s="60"/>
      <c r="C123" s="60"/>
      <c r="D123" s="60"/>
      <c r="E123" s="60"/>
      <c r="F123" s="60"/>
      <c r="G123" s="60"/>
      <c r="H123" s="3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 spans="1:25" ht="15.75" customHeight="1" x14ac:dyDescent="0.2">
      <c r="A124" s="60"/>
      <c r="B124" s="60"/>
      <c r="C124" s="60"/>
      <c r="D124" s="60"/>
      <c r="E124" s="60"/>
      <c r="F124" s="60"/>
      <c r="G124" s="60"/>
      <c r="H124" s="3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 spans="1:25" ht="15.75" customHeight="1" x14ac:dyDescent="0.2">
      <c r="A125" s="60"/>
      <c r="B125" s="60"/>
      <c r="C125" s="60"/>
      <c r="D125" s="60"/>
      <c r="E125" s="60"/>
      <c r="F125" s="60"/>
      <c r="G125" s="60"/>
      <c r="H125" s="3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 spans="1:25" ht="15.75" customHeight="1" x14ac:dyDescent="0.2">
      <c r="A126" s="60"/>
      <c r="B126" s="60"/>
      <c r="C126" s="60"/>
      <c r="D126" s="60"/>
      <c r="E126" s="60"/>
      <c r="F126" s="60"/>
      <c r="G126" s="60"/>
      <c r="H126" s="3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 spans="1:25" ht="15.75" customHeight="1" x14ac:dyDescent="0.2">
      <c r="A127" s="60"/>
      <c r="B127" s="60"/>
      <c r="C127" s="60"/>
      <c r="D127" s="60"/>
      <c r="E127" s="60"/>
      <c r="F127" s="60"/>
      <c r="G127" s="60"/>
      <c r="H127" s="3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 spans="1:25" ht="15.75" customHeight="1" x14ac:dyDescent="0.2">
      <c r="A128" s="60"/>
      <c r="B128" s="60"/>
      <c r="C128" s="60"/>
      <c r="D128" s="60"/>
      <c r="E128" s="60"/>
      <c r="F128" s="60"/>
      <c r="G128" s="60"/>
      <c r="H128" s="3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 spans="1:25" ht="15.75" customHeight="1" x14ac:dyDescent="0.2">
      <c r="A129" s="60"/>
      <c r="B129" s="60"/>
      <c r="C129" s="60"/>
      <c r="D129" s="60"/>
      <c r="E129" s="60"/>
      <c r="F129" s="60"/>
      <c r="G129" s="60"/>
      <c r="H129" s="3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 spans="1:25" ht="15.75" customHeight="1" x14ac:dyDescent="0.2">
      <c r="A130" s="60"/>
      <c r="B130" s="60"/>
      <c r="C130" s="60"/>
      <c r="D130" s="60"/>
      <c r="E130" s="60"/>
      <c r="F130" s="60"/>
      <c r="G130" s="60"/>
      <c r="H130" s="3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 spans="1:25" ht="15.75" customHeight="1" x14ac:dyDescent="0.2">
      <c r="A131" s="60"/>
      <c r="B131" s="60"/>
      <c r="C131" s="60"/>
      <c r="D131" s="60"/>
      <c r="E131" s="60"/>
      <c r="F131" s="60"/>
      <c r="G131" s="60"/>
      <c r="H131" s="3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 spans="1:25" ht="15.75" customHeight="1" x14ac:dyDescent="0.2">
      <c r="A132" s="60"/>
      <c r="B132" s="60"/>
      <c r="C132" s="60"/>
      <c r="D132" s="60"/>
      <c r="E132" s="60"/>
      <c r="F132" s="60"/>
      <c r="G132" s="60"/>
      <c r="H132" s="3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 spans="1:25" ht="15.75" customHeight="1" x14ac:dyDescent="0.2">
      <c r="A133" s="60"/>
      <c r="B133" s="60"/>
      <c r="C133" s="60"/>
      <c r="D133" s="60"/>
      <c r="E133" s="60"/>
      <c r="F133" s="60"/>
      <c r="G133" s="60"/>
      <c r="H133" s="3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 spans="1:25" ht="15.75" customHeight="1" x14ac:dyDescent="0.2">
      <c r="A134" s="60"/>
      <c r="B134" s="60"/>
      <c r="C134" s="60"/>
      <c r="D134" s="60"/>
      <c r="E134" s="60"/>
      <c r="F134" s="60"/>
      <c r="G134" s="60"/>
      <c r="H134" s="3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 spans="1:25" ht="15.75" customHeight="1" x14ac:dyDescent="0.2">
      <c r="A135" s="60"/>
      <c r="B135" s="60"/>
      <c r="C135" s="60"/>
      <c r="D135" s="60"/>
      <c r="E135" s="60"/>
      <c r="F135" s="60"/>
      <c r="G135" s="60"/>
      <c r="H135" s="3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 spans="1:25" ht="15.75" customHeight="1" x14ac:dyDescent="0.2">
      <c r="A136" s="60"/>
      <c r="B136" s="60"/>
      <c r="C136" s="60"/>
      <c r="D136" s="60"/>
      <c r="E136" s="60"/>
      <c r="F136" s="60"/>
      <c r="G136" s="60"/>
      <c r="H136" s="3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 spans="1:25" ht="15.75" customHeight="1" x14ac:dyDescent="0.2">
      <c r="A137" s="60"/>
      <c r="B137" s="60"/>
      <c r="C137" s="60"/>
      <c r="D137" s="60"/>
      <c r="E137" s="60"/>
      <c r="F137" s="60"/>
      <c r="G137" s="60"/>
      <c r="H137" s="3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 spans="1:25" ht="15.75" customHeight="1" x14ac:dyDescent="0.2">
      <c r="A138" s="60"/>
      <c r="B138" s="60"/>
      <c r="C138" s="60"/>
      <c r="D138" s="60"/>
      <c r="E138" s="60"/>
      <c r="F138" s="60"/>
      <c r="G138" s="60"/>
      <c r="H138" s="3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 spans="1:25" ht="15.75" customHeight="1" x14ac:dyDescent="0.2">
      <c r="A139" s="60"/>
      <c r="B139" s="60"/>
      <c r="C139" s="60"/>
      <c r="D139" s="60"/>
      <c r="E139" s="60"/>
      <c r="F139" s="60"/>
      <c r="G139" s="60"/>
      <c r="H139" s="3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 spans="1:25" ht="15.75" customHeight="1" x14ac:dyDescent="0.2">
      <c r="A140" s="60"/>
      <c r="B140" s="60"/>
      <c r="C140" s="60"/>
      <c r="D140" s="60"/>
      <c r="E140" s="60"/>
      <c r="F140" s="60"/>
      <c r="G140" s="60"/>
      <c r="H140" s="3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 spans="1:25" ht="15.75" customHeight="1" x14ac:dyDescent="0.2">
      <c r="A141" s="60"/>
      <c r="B141" s="60"/>
      <c r="C141" s="60"/>
      <c r="D141" s="60"/>
      <c r="E141" s="60"/>
      <c r="F141" s="60"/>
      <c r="G141" s="60"/>
      <c r="H141" s="3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 spans="1:25" ht="15.75" customHeight="1" x14ac:dyDescent="0.2">
      <c r="A142" s="60"/>
      <c r="B142" s="60"/>
      <c r="C142" s="60"/>
      <c r="D142" s="60"/>
      <c r="E142" s="60"/>
      <c r="F142" s="60"/>
      <c r="G142" s="60"/>
      <c r="H142" s="3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 spans="1:25" ht="15.75" customHeight="1" x14ac:dyDescent="0.2">
      <c r="A143" s="60"/>
      <c r="B143" s="60"/>
      <c r="C143" s="60"/>
      <c r="D143" s="60"/>
      <c r="E143" s="60"/>
      <c r="F143" s="60"/>
      <c r="G143" s="60"/>
      <c r="H143" s="3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 spans="1:25" ht="15.75" customHeight="1" x14ac:dyDescent="0.2">
      <c r="A144" s="60"/>
      <c r="B144" s="60"/>
      <c r="C144" s="60"/>
      <c r="D144" s="60"/>
      <c r="E144" s="60"/>
      <c r="F144" s="60"/>
      <c r="G144" s="60"/>
      <c r="H144" s="3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 spans="1:25" ht="15.75" customHeight="1" x14ac:dyDescent="0.2">
      <c r="A145" s="60"/>
      <c r="B145" s="60"/>
      <c r="C145" s="60"/>
      <c r="D145" s="60"/>
      <c r="E145" s="60"/>
      <c r="F145" s="60"/>
      <c r="G145" s="60"/>
      <c r="H145" s="3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 spans="1:25" ht="15.75" customHeight="1" x14ac:dyDescent="0.2">
      <c r="A146" s="60"/>
      <c r="B146" s="60"/>
      <c r="C146" s="60"/>
      <c r="D146" s="60"/>
      <c r="E146" s="60"/>
      <c r="F146" s="60"/>
      <c r="G146" s="60"/>
      <c r="H146" s="3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 spans="1:25" ht="15.75" customHeight="1" x14ac:dyDescent="0.2">
      <c r="A147" s="60"/>
      <c r="B147" s="60"/>
      <c r="C147" s="60"/>
      <c r="D147" s="60"/>
      <c r="E147" s="60"/>
      <c r="F147" s="60"/>
      <c r="G147" s="60"/>
      <c r="H147" s="3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 spans="1:25" ht="15.75" customHeight="1" x14ac:dyDescent="0.2">
      <c r="A148" s="60"/>
      <c r="B148" s="60"/>
      <c r="C148" s="60"/>
      <c r="D148" s="60"/>
      <c r="E148" s="60"/>
      <c r="F148" s="60"/>
      <c r="G148" s="60"/>
      <c r="H148" s="3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 spans="1:25" ht="15.75" customHeight="1" x14ac:dyDescent="0.2">
      <c r="A149" s="60"/>
      <c r="B149" s="60"/>
      <c r="C149" s="60"/>
      <c r="D149" s="60"/>
      <c r="E149" s="60"/>
      <c r="F149" s="60"/>
      <c r="G149" s="60"/>
      <c r="H149" s="3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 spans="1:25" ht="15.75" customHeight="1" x14ac:dyDescent="0.2">
      <c r="A150" s="60"/>
      <c r="B150" s="60"/>
      <c r="C150" s="60"/>
      <c r="D150" s="60"/>
      <c r="E150" s="60"/>
      <c r="F150" s="60"/>
      <c r="G150" s="60"/>
      <c r="H150" s="3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 spans="1:25" ht="15.75" customHeight="1" x14ac:dyDescent="0.2">
      <c r="A151" s="60"/>
      <c r="B151" s="60"/>
      <c r="C151" s="60"/>
      <c r="D151" s="60"/>
      <c r="E151" s="60"/>
      <c r="F151" s="60"/>
      <c r="G151" s="60"/>
      <c r="H151" s="3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 spans="1:25" ht="15.75" customHeight="1" x14ac:dyDescent="0.2">
      <c r="A152" s="60"/>
      <c r="B152" s="60"/>
      <c r="C152" s="60"/>
      <c r="D152" s="60"/>
      <c r="E152" s="60"/>
      <c r="F152" s="60"/>
      <c r="G152" s="60"/>
      <c r="H152" s="3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 spans="1:25" ht="15.75" customHeight="1" x14ac:dyDescent="0.2">
      <c r="A153" s="60"/>
      <c r="B153" s="60"/>
      <c r="C153" s="60"/>
      <c r="D153" s="60"/>
      <c r="E153" s="60"/>
      <c r="F153" s="60"/>
      <c r="G153" s="60"/>
      <c r="H153" s="3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 spans="1:25" ht="15.75" customHeight="1" x14ac:dyDescent="0.2">
      <c r="A154" s="60"/>
      <c r="B154" s="60"/>
      <c r="C154" s="60"/>
      <c r="D154" s="60"/>
      <c r="E154" s="60"/>
      <c r="F154" s="60"/>
      <c r="G154" s="60"/>
      <c r="H154" s="3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 spans="1:25" ht="15.75" customHeight="1" x14ac:dyDescent="0.2">
      <c r="A155" s="60"/>
      <c r="B155" s="60"/>
      <c r="C155" s="60"/>
      <c r="D155" s="60"/>
      <c r="E155" s="60"/>
      <c r="F155" s="60"/>
      <c r="G155" s="60"/>
      <c r="H155" s="3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 spans="1:25" ht="15.75" customHeight="1" x14ac:dyDescent="0.2">
      <c r="A156" s="60"/>
      <c r="B156" s="60"/>
      <c r="C156" s="60"/>
      <c r="D156" s="60"/>
      <c r="E156" s="60"/>
      <c r="F156" s="60"/>
      <c r="G156" s="60"/>
      <c r="H156" s="3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 spans="1:25" ht="15.75" customHeight="1" x14ac:dyDescent="0.2">
      <c r="A157" s="60"/>
      <c r="B157" s="60"/>
      <c r="C157" s="60"/>
      <c r="D157" s="60"/>
      <c r="E157" s="60"/>
      <c r="F157" s="60"/>
      <c r="G157" s="60"/>
      <c r="H157" s="3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 spans="1:25" ht="15.75" customHeight="1" x14ac:dyDescent="0.2">
      <c r="A158" s="60"/>
      <c r="B158" s="60"/>
      <c r="C158" s="60"/>
      <c r="D158" s="60"/>
      <c r="E158" s="60"/>
      <c r="F158" s="60"/>
      <c r="G158" s="60"/>
      <c r="H158" s="3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 spans="1:25" ht="15.75" customHeight="1" x14ac:dyDescent="0.2">
      <c r="A159" s="60"/>
      <c r="B159" s="60"/>
      <c r="C159" s="60"/>
      <c r="D159" s="60"/>
      <c r="E159" s="60"/>
      <c r="F159" s="60"/>
      <c r="G159" s="60"/>
      <c r="H159" s="3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 spans="1:25" ht="15.75" customHeight="1" x14ac:dyDescent="0.2">
      <c r="A160" s="60"/>
      <c r="B160" s="60"/>
      <c r="C160" s="60"/>
      <c r="D160" s="60"/>
      <c r="E160" s="60"/>
      <c r="F160" s="60"/>
      <c r="G160" s="60"/>
      <c r="H160" s="3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 spans="1:25" ht="15.75" customHeight="1" x14ac:dyDescent="0.2">
      <c r="A161" s="60"/>
      <c r="B161" s="60"/>
      <c r="C161" s="60"/>
      <c r="D161" s="60"/>
      <c r="E161" s="60"/>
      <c r="F161" s="60"/>
      <c r="G161" s="60"/>
      <c r="H161" s="3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 spans="1:25" ht="15.75" customHeight="1" x14ac:dyDescent="0.2">
      <c r="A162" s="60"/>
      <c r="B162" s="60"/>
      <c r="C162" s="60"/>
      <c r="D162" s="60"/>
      <c r="E162" s="60"/>
      <c r="F162" s="60"/>
      <c r="G162" s="60"/>
      <c r="H162" s="3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 spans="1:25" ht="15.75" customHeight="1" x14ac:dyDescent="0.2">
      <c r="A163" s="60"/>
      <c r="B163" s="60"/>
      <c r="C163" s="60"/>
      <c r="D163" s="60"/>
      <c r="E163" s="60"/>
      <c r="F163" s="60"/>
      <c r="G163" s="60"/>
      <c r="H163" s="3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 spans="1:25" ht="15.75" customHeight="1" x14ac:dyDescent="0.2">
      <c r="A164" s="60"/>
      <c r="B164" s="60"/>
      <c r="C164" s="60"/>
      <c r="D164" s="60"/>
      <c r="E164" s="60"/>
      <c r="F164" s="60"/>
      <c r="G164" s="60"/>
      <c r="H164" s="3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 spans="1:25" ht="15.75" customHeight="1" x14ac:dyDescent="0.2">
      <c r="A165" s="60"/>
      <c r="B165" s="60"/>
      <c r="C165" s="60"/>
      <c r="D165" s="60"/>
      <c r="E165" s="60"/>
      <c r="F165" s="60"/>
      <c r="G165" s="60"/>
      <c r="H165" s="3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 spans="1:25" ht="15.75" customHeight="1" x14ac:dyDescent="0.2">
      <c r="A166" s="60"/>
      <c r="B166" s="60"/>
      <c r="C166" s="60"/>
      <c r="D166" s="60"/>
      <c r="E166" s="60"/>
      <c r="F166" s="60"/>
      <c r="G166" s="60"/>
      <c r="H166" s="3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 spans="1:25" ht="15.75" customHeight="1" x14ac:dyDescent="0.2">
      <c r="A167" s="60"/>
      <c r="B167" s="60"/>
      <c r="C167" s="60"/>
      <c r="D167" s="60"/>
      <c r="E167" s="60"/>
      <c r="F167" s="60"/>
      <c r="G167" s="60"/>
      <c r="H167" s="3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 spans="1:25" ht="15.75" customHeight="1" x14ac:dyDescent="0.2">
      <c r="A168" s="60"/>
      <c r="B168" s="60"/>
      <c r="C168" s="60"/>
      <c r="D168" s="60"/>
      <c r="E168" s="60"/>
      <c r="F168" s="60"/>
      <c r="G168" s="60"/>
      <c r="H168" s="3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 spans="1:25" ht="15.75" customHeight="1" x14ac:dyDescent="0.2">
      <c r="A169" s="60"/>
      <c r="B169" s="60"/>
      <c r="C169" s="60"/>
      <c r="D169" s="60"/>
      <c r="E169" s="60"/>
      <c r="F169" s="60"/>
      <c r="G169" s="60"/>
      <c r="H169" s="3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 spans="1:25" ht="15.75" customHeight="1" x14ac:dyDescent="0.2">
      <c r="A170" s="60"/>
      <c r="B170" s="60"/>
      <c r="C170" s="60"/>
      <c r="D170" s="60"/>
      <c r="E170" s="60"/>
      <c r="F170" s="60"/>
      <c r="G170" s="60"/>
      <c r="H170" s="3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 spans="1:25" ht="15.75" customHeight="1" x14ac:dyDescent="0.2">
      <c r="A171" s="60"/>
      <c r="B171" s="60"/>
      <c r="C171" s="60"/>
      <c r="D171" s="60"/>
      <c r="E171" s="60"/>
      <c r="F171" s="60"/>
      <c r="G171" s="60"/>
      <c r="H171" s="3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 spans="1:25" ht="15.75" customHeight="1" x14ac:dyDescent="0.2">
      <c r="A172" s="60"/>
      <c r="B172" s="60"/>
      <c r="C172" s="60"/>
      <c r="D172" s="60"/>
      <c r="E172" s="60"/>
      <c r="F172" s="60"/>
      <c r="G172" s="60"/>
      <c r="H172" s="3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 spans="1:25" ht="15.75" customHeight="1" x14ac:dyDescent="0.2">
      <c r="A173" s="60"/>
      <c r="B173" s="60"/>
      <c r="C173" s="60"/>
      <c r="D173" s="60"/>
      <c r="E173" s="60"/>
      <c r="F173" s="60"/>
      <c r="G173" s="60"/>
      <c r="H173" s="3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 spans="1:25" ht="15.75" customHeight="1" x14ac:dyDescent="0.2">
      <c r="A174" s="60"/>
      <c r="B174" s="60"/>
      <c r="C174" s="60"/>
      <c r="D174" s="60"/>
      <c r="E174" s="60"/>
      <c r="F174" s="60"/>
      <c r="G174" s="60"/>
      <c r="H174" s="3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 spans="1:25" ht="15.75" customHeight="1" x14ac:dyDescent="0.2">
      <c r="A175" s="60"/>
      <c r="B175" s="60"/>
      <c r="C175" s="60"/>
      <c r="D175" s="60"/>
      <c r="E175" s="60"/>
      <c r="F175" s="60"/>
      <c r="G175" s="60"/>
      <c r="H175" s="3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 spans="1:25" ht="15.75" customHeight="1" x14ac:dyDescent="0.2">
      <c r="A176" s="60"/>
      <c r="B176" s="60"/>
      <c r="C176" s="60"/>
      <c r="D176" s="60"/>
      <c r="E176" s="60"/>
      <c r="F176" s="60"/>
      <c r="G176" s="60"/>
      <c r="H176" s="3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 spans="1:25" ht="15.75" customHeight="1" x14ac:dyDescent="0.2">
      <c r="A177" s="60"/>
      <c r="B177" s="60"/>
      <c r="C177" s="60"/>
      <c r="D177" s="60"/>
      <c r="E177" s="60"/>
      <c r="F177" s="60"/>
      <c r="G177" s="60"/>
      <c r="H177" s="3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 spans="1:25" ht="15.75" customHeight="1" x14ac:dyDescent="0.2">
      <c r="A178" s="60"/>
      <c r="B178" s="60"/>
      <c r="C178" s="60"/>
      <c r="D178" s="60"/>
      <c r="E178" s="60"/>
      <c r="F178" s="60"/>
      <c r="G178" s="60"/>
      <c r="H178" s="3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 spans="1:25" ht="15.75" customHeight="1" x14ac:dyDescent="0.2">
      <c r="A179" s="60"/>
      <c r="B179" s="60"/>
      <c r="C179" s="60"/>
      <c r="D179" s="60"/>
      <c r="E179" s="60"/>
      <c r="F179" s="60"/>
      <c r="G179" s="60"/>
      <c r="H179" s="3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 spans="1:25" ht="15.75" customHeight="1" x14ac:dyDescent="0.2">
      <c r="A180" s="60"/>
      <c r="B180" s="60"/>
      <c r="C180" s="60"/>
      <c r="D180" s="60"/>
      <c r="E180" s="60"/>
      <c r="F180" s="60"/>
      <c r="G180" s="60"/>
      <c r="H180" s="3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 spans="1:25" ht="15.75" customHeight="1" x14ac:dyDescent="0.2">
      <c r="A181" s="60"/>
      <c r="B181" s="60"/>
      <c r="C181" s="60"/>
      <c r="D181" s="60"/>
      <c r="E181" s="60"/>
      <c r="F181" s="60"/>
      <c r="G181" s="60"/>
      <c r="H181" s="3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 spans="1:25" ht="15.75" customHeight="1" x14ac:dyDescent="0.2">
      <c r="A182" s="60"/>
      <c r="B182" s="60"/>
      <c r="C182" s="60"/>
      <c r="D182" s="60"/>
      <c r="E182" s="60"/>
      <c r="F182" s="60"/>
      <c r="G182" s="60"/>
      <c r="H182" s="3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 spans="1:25" ht="15.75" customHeight="1" x14ac:dyDescent="0.2">
      <c r="A183" s="60"/>
      <c r="B183" s="60"/>
      <c r="C183" s="60"/>
      <c r="D183" s="60"/>
      <c r="E183" s="60"/>
      <c r="F183" s="60"/>
      <c r="G183" s="60"/>
      <c r="H183" s="3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 spans="1:25" ht="15.75" customHeight="1" x14ac:dyDescent="0.2">
      <c r="A184" s="60"/>
      <c r="B184" s="60"/>
      <c r="C184" s="60"/>
      <c r="D184" s="60"/>
      <c r="E184" s="60"/>
      <c r="F184" s="60"/>
      <c r="G184" s="60"/>
      <c r="H184" s="3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 spans="1:25" ht="15.75" customHeight="1" x14ac:dyDescent="0.2">
      <c r="A185" s="60"/>
      <c r="B185" s="60"/>
      <c r="C185" s="60"/>
      <c r="D185" s="60"/>
      <c r="E185" s="60"/>
      <c r="F185" s="60"/>
      <c r="G185" s="60"/>
      <c r="H185" s="3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 spans="1:25" ht="15.75" customHeight="1" x14ac:dyDescent="0.2">
      <c r="A186" s="60"/>
      <c r="B186" s="60"/>
      <c r="C186" s="60"/>
      <c r="D186" s="60"/>
      <c r="E186" s="60"/>
      <c r="F186" s="60"/>
      <c r="G186" s="60"/>
      <c r="H186" s="3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 spans="1:25" ht="15.75" customHeight="1" x14ac:dyDescent="0.2">
      <c r="A187" s="60"/>
      <c r="B187" s="60"/>
      <c r="C187" s="60"/>
      <c r="D187" s="60"/>
      <c r="E187" s="60"/>
      <c r="F187" s="60"/>
      <c r="G187" s="60"/>
      <c r="H187" s="3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 spans="1:25" ht="15.75" customHeight="1" x14ac:dyDescent="0.2">
      <c r="A188" s="60"/>
      <c r="B188" s="60"/>
      <c r="C188" s="60"/>
      <c r="D188" s="60"/>
      <c r="E188" s="60"/>
      <c r="F188" s="60"/>
      <c r="G188" s="60"/>
      <c r="H188" s="3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 spans="1:25" ht="15.75" customHeight="1" x14ac:dyDescent="0.2">
      <c r="A189" s="60"/>
      <c r="B189" s="60"/>
      <c r="C189" s="60"/>
      <c r="D189" s="60"/>
      <c r="E189" s="60"/>
      <c r="F189" s="60"/>
      <c r="G189" s="60"/>
      <c r="H189" s="3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 spans="1:25" ht="15.75" customHeight="1" x14ac:dyDescent="0.2">
      <c r="A190" s="60"/>
      <c r="B190" s="60"/>
      <c r="C190" s="60"/>
      <c r="D190" s="60"/>
      <c r="E190" s="60"/>
      <c r="F190" s="60"/>
      <c r="G190" s="60"/>
      <c r="H190" s="3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 spans="1:25" ht="15.75" customHeight="1" x14ac:dyDescent="0.2">
      <c r="A191" s="60"/>
      <c r="B191" s="60"/>
      <c r="C191" s="60"/>
      <c r="D191" s="60"/>
      <c r="E191" s="60"/>
      <c r="F191" s="60"/>
      <c r="G191" s="60"/>
      <c r="H191" s="3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 spans="1:25" ht="15.75" customHeight="1" x14ac:dyDescent="0.2">
      <c r="A192" s="60"/>
      <c r="B192" s="60"/>
      <c r="C192" s="60"/>
      <c r="D192" s="60"/>
      <c r="E192" s="60"/>
      <c r="F192" s="60"/>
      <c r="G192" s="60"/>
      <c r="H192" s="3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 spans="1:25" ht="15.75" customHeight="1" x14ac:dyDescent="0.2">
      <c r="A193" s="60"/>
      <c r="B193" s="60"/>
      <c r="C193" s="60"/>
      <c r="D193" s="60"/>
      <c r="E193" s="60"/>
      <c r="F193" s="60"/>
      <c r="G193" s="60"/>
      <c r="H193" s="3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 spans="1:25" ht="15.75" customHeight="1" x14ac:dyDescent="0.2">
      <c r="A194" s="60"/>
      <c r="B194" s="60"/>
      <c r="C194" s="60"/>
      <c r="D194" s="60"/>
      <c r="E194" s="60"/>
      <c r="F194" s="60"/>
      <c r="G194" s="60"/>
      <c r="H194" s="3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 spans="1:25" ht="15.75" customHeight="1" x14ac:dyDescent="0.2">
      <c r="A195" s="60"/>
      <c r="B195" s="60"/>
      <c r="C195" s="60"/>
      <c r="D195" s="60"/>
      <c r="E195" s="60"/>
      <c r="F195" s="60"/>
      <c r="G195" s="60"/>
      <c r="H195" s="3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 spans="1:25" ht="15.75" customHeight="1" x14ac:dyDescent="0.2">
      <c r="A196" s="60"/>
      <c r="B196" s="60"/>
      <c r="C196" s="60"/>
      <c r="D196" s="60"/>
      <c r="E196" s="60"/>
      <c r="F196" s="60"/>
      <c r="G196" s="60"/>
      <c r="H196" s="3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 spans="1:25" ht="15.75" customHeight="1" x14ac:dyDescent="0.2">
      <c r="A197" s="60"/>
      <c r="B197" s="60"/>
      <c r="C197" s="60"/>
      <c r="D197" s="60"/>
      <c r="E197" s="60"/>
      <c r="F197" s="60"/>
      <c r="G197" s="60"/>
      <c r="H197" s="3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 spans="1:25" ht="15.75" customHeight="1" x14ac:dyDescent="0.2">
      <c r="A198" s="60"/>
      <c r="B198" s="60"/>
      <c r="C198" s="60"/>
      <c r="D198" s="60"/>
      <c r="E198" s="60"/>
      <c r="F198" s="60"/>
      <c r="G198" s="60"/>
      <c r="H198" s="3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 spans="1:25" ht="15.75" customHeight="1" x14ac:dyDescent="0.2">
      <c r="A199" s="60"/>
      <c r="B199" s="60"/>
      <c r="C199" s="60"/>
      <c r="D199" s="60"/>
      <c r="E199" s="60"/>
      <c r="F199" s="60"/>
      <c r="G199" s="60"/>
      <c r="H199" s="3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 spans="1:25" ht="15.75" customHeight="1" x14ac:dyDescent="0.2">
      <c r="A200" s="60"/>
      <c r="B200" s="60"/>
      <c r="C200" s="60"/>
      <c r="D200" s="60"/>
      <c r="E200" s="60"/>
      <c r="F200" s="60"/>
      <c r="G200" s="60"/>
      <c r="H200" s="3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 spans="1:25" ht="15.75" customHeight="1" x14ac:dyDescent="0.2">
      <c r="A201" s="60"/>
      <c r="B201" s="60"/>
      <c r="C201" s="60"/>
      <c r="D201" s="60"/>
      <c r="E201" s="60"/>
      <c r="F201" s="60"/>
      <c r="G201" s="60"/>
      <c r="H201" s="3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 spans="1:25" ht="15.75" customHeight="1" x14ac:dyDescent="0.2">
      <c r="A202" s="60"/>
      <c r="B202" s="60"/>
      <c r="C202" s="60"/>
      <c r="D202" s="60"/>
      <c r="E202" s="60"/>
      <c r="F202" s="60"/>
      <c r="G202" s="60"/>
      <c r="H202" s="3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 spans="1:25" ht="15.75" customHeight="1" x14ac:dyDescent="0.2">
      <c r="A203" s="60"/>
      <c r="B203" s="60"/>
      <c r="C203" s="60"/>
      <c r="D203" s="60"/>
      <c r="E203" s="60"/>
      <c r="F203" s="60"/>
      <c r="G203" s="60"/>
      <c r="H203" s="3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 spans="1:25" ht="15.75" customHeight="1" x14ac:dyDescent="0.2">
      <c r="A204" s="60"/>
      <c r="B204" s="60"/>
      <c r="C204" s="60"/>
      <c r="D204" s="60"/>
      <c r="E204" s="60"/>
      <c r="F204" s="60"/>
      <c r="G204" s="60"/>
      <c r="H204" s="3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 spans="1:25" ht="15.75" customHeight="1" x14ac:dyDescent="0.2">
      <c r="A205" s="60"/>
      <c r="B205" s="60"/>
      <c r="C205" s="60"/>
      <c r="D205" s="60"/>
      <c r="E205" s="60"/>
      <c r="F205" s="60"/>
      <c r="G205" s="60"/>
      <c r="H205" s="3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 spans="1:25" ht="15.75" customHeight="1" x14ac:dyDescent="0.2">
      <c r="A206" s="60"/>
      <c r="B206" s="60"/>
      <c r="C206" s="60"/>
      <c r="D206" s="60"/>
      <c r="E206" s="60"/>
      <c r="F206" s="60"/>
      <c r="G206" s="60"/>
      <c r="H206" s="3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 spans="1:25" ht="15.75" customHeight="1" x14ac:dyDescent="0.2">
      <c r="A207" s="60"/>
      <c r="B207" s="60"/>
      <c r="C207" s="60"/>
      <c r="D207" s="60"/>
      <c r="E207" s="60"/>
      <c r="F207" s="60"/>
      <c r="G207" s="60"/>
      <c r="H207" s="3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 spans="1:25" ht="15.75" customHeight="1" x14ac:dyDescent="0.2">
      <c r="A208" s="60"/>
      <c r="B208" s="60"/>
      <c r="C208" s="60"/>
      <c r="D208" s="60"/>
      <c r="E208" s="60"/>
      <c r="F208" s="60"/>
      <c r="G208" s="60"/>
      <c r="H208" s="3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 spans="1:25" ht="15.75" customHeight="1" x14ac:dyDescent="0.2">
      <c r="A209" s="60"/>
      <c r="B209" s="60"/>
      <c r="C209" s="60"/>
      <c r="D209" s="60"/>
      <c r="E209" s="60"/>
      <c r="F209" s="60"/>
      <c r="G209" s="60"/>
      <c r="H209" s="3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 spans="1:25" ht="15.75" customHeight="1" x14ac:dyDescent="0.2">
      <c r="A210" s="60"/>
      <c r="B210" s="60"/>
      <c r="C210" s="60"/>
      <c r="D210" s="60"/>
      <c r="E210" s="60"/>
      <c r="F210" s="60"/>
      <c r="G210" s="60"/>
      <c r="H210" s="3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 spans="1:25" ht="15.75" customHeight="1" x14ac:dyDescent="0.2">
      <c r="A211" s="60"/>
      <c r="B211" s="60"/>
      <c r="C211" s="60"/>
      <c r="D211" s="60"/>
      <c r="E211" s="60"/>
      <c r="F211" s="60"/>
      <c r="G211" s="60"/>
      <c r="H211" s="3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 spans="1:25" ht="15.75" customHeight="1" x14ac:dyDescent="0.2">
      <c r="A212" s="60"/>
      <c r="B212" s="60"/>
      <c r="C212" s="60"/>
      <c r="D212" s="60"/>
      <c r="E212" s="60"/>
      <c r="F212" s="60"/>
      <c r="G212" s="60"/>
      <c r="H212" s="3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 spans="1:25" ht="15.75" customHeight="1" x14ac:dyDescent="0.2">
      <c r="A213" s="60"/>
      <c r="B213" s="60"/>
      <c r="C213" s="60"/>
      <c r="D213" s="60"/>
      <c r="E213" s="60"/>
      <c r="F213" s="60"/>
      <c r="G213" s="60"/>
      <c r="H213" s="3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 spans="1:25" ht="15.75" customHeight="1" x14ac:dyDescent="0.2">
      <c r="A214" s="60"/>
      <c r="B214" s="60"/>
      <c r="C214" s="60"/>
      <c r="D214" s="60"/>
      <c r="E214" s="60"/>
      <c r="F214" s="60"/>
      <c r="G214" s="60"/>
      <c r="H214" s="3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 spans="1:25" ht="15.75" customHeight="1" x14ac:dyDescent="0.2">
      <c r="A215" s="60"/>
      <c r="B215" s="60"/>
      <c r="C215" s="60"/>
      <c r="D215" s="60"/>
      <c r="E215" s="60"/>
      <c r="F215" s="60"/>
      <c r="G215" s="60"/>
      <c r="H215" s="3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 spans="1:25" ht="15.75" customHeight="1" x14ac:dyDescent="0.2">
      <c r="A216" s="60"/>
      <c r="B216" s="60"/>
      <c r="C216" s="60"/>
      <c r="D216" s="60"/>
      <c r="E216" s="60"/>
      <c r="F216" s="60"/>
      <c r="G216" s="60"/>
      <c r="H216" s="3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 spans="1:25" ht="15.75" customHeight="1" x14ac:dyDescent="0.2">
      <c r="A217" s="60"/>
      <c r="B217" s="60"/>
      <c r="C217" s="60"/>
      <c r="D217" s="60"/>
      <c r="E217" s="60"/>
      <c r="F217" s="60"/>
      <c r="G217" s="60"/>
      <c r="H217" s="3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 spans="1:25" ht="15.75" customHeight="1" x14ac:dyDescent="0.2">
      <c r="A218" s="60"/>
      <c r="B218" s="60"/>
      <c r="C218" s="60"/>
      <c r="D218" s="60"/>
      <c r="E218" s="60"/>
      <c r="F218" s="60"/>
      <c r="G218" s="60"/>
      <c r="H218" s="3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 spans="1:25" ht="15.75" customHeight="1" x14ac:dyDescent="0.2">
      <c r="A219" s="60"/>
      <c r="B219" s="60"/>
      <c r="C219" s="60"/>
      <c r="D219" s="60"/>
      <c r="E219" s="60"/>
      <c r="F219" s="60"/>
      <c r="G219" s="60"/>
      <c r="H219" s="3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 spans="1:25" ht="15.75" customHeight="1" x14ac:dyDescent="0.2">
      <c r="A220" s="60"/>
      <c r="B220" s="60"/>
      <c r="C220" s="60"/>
      <c r="D220" s="60"/>
      <c r="E220" s="60"/>
      <c r="F220" s="60"/>
      <c r="G220" s="60"/>
      <c r="H220" s="3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B18:B19"/>
    <mergeCell ref="B8:B9"/>
    <mergeCell ref="B10:B11"/>
    <mergeCell ref="B12:B13"/>
    <mergeCell ref="B14:B15"/>
    <mergeCell ref="B16:B17"/>
  </mergeCells>
  <phoneticPr fontId="11" type="noConversion"/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492AB1C78CEB4DBD063AFF43A00C70" ma:contentTypeVersion="6" ma:contentTypeDescription="Crie um novo documento." ma:contentTypeScope="" ma:versionID="f526983d6917f97a444ff35900c35b7c">
  <xsd:schema xmlns:xsd="http://www.w3.org/2001/XMLSchema" xmlns:xs="http://www.w3.org/2001/XMLSchema" xmlns:p="http://schemas.microsoft.com/office/2006/metadata/properties" xmlns:ns3="a41fb73f-e0d2-42d7-a6f6-93311e05464c" targetNamespace="http://schemas.microsoft.com/office/2006/metadata/properties" ma:root="true" ma:fieldsID="5d2fb33bdcbc2c20d5223ddf68a1b32d" ns3:_="">
    <xsd:import namespace="a41fb73f-e0d2-42d7-a6f6-93311e0546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1fb73f-e0d2-42d7-a6f6-93311e0546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1fb73f-e0d2-42d7-a6f6-93311e05464c" xsi:nil="true"/>
  </documentManagement>
</p:properties>
</file>

<file path=customXml/itemProps1.xml><?xml version="1.0" encoding="utf-8"?>
<ds:datastoreItem xmlns:ds="http://schemas.openxmlformats.org/officeDocument/2006/customXml" ds:itemID="{C14D8986-FCDA-4BAD-B80E-AC51906CE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1fb73f-e0d2-42d7-a6f6-93311e0546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D6F73C-4F67-4592-AA55-B85B45E7A1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7DFD49-BBAE-42C2-A7E8-4AAF4830D7AB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1fb73f-e0d2-42d7-a6f6-93311e05464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CLM</vt:lpstr>
      <vt:lpstr>CLC</vt:lpstr>
      <vt:lpstr>GO</vt:lpstr>
      <vt:lpstr>PED</vt:lpstr>
      <vt:lpstr>PREVENTIVA</vt:lpstr>
      <vt:lpstr>SIMULADOS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Vidal Oliveira</dc:creator>
  <cp:lastModifiedBy>ÁLIX DJONE BERTÉ</cp:lastModifiedBy>
  <dcterms:created xsi:type="dcterms:W3CDTF">2026-04-18T16:36:06Z</dcterms:created>
  <dcterms:modified xsi:type="dcterms:W3CDTF">2026-07-01T22:35:28Z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0x0101001A492AB1C78CEB4DBD063AFF43A00C70</vt:lpwstr>
  </property>
</Properties>
</file>